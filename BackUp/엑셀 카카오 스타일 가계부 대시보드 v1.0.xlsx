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ropbox\9. 내 드롭박스\@. #오빠두\# 홈페이지 공유파일\3. 문서서식\카카오 스타일 가계부 대시보드\"/>
    </mc:Choice>
  </mc:AlternateContent>
  <xr:revisionPtr revIDLastSave="0" documentId="13_ncr:1_{14C5739A-BACE-402A-8E74-B1820D788ED1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대시보드" sheetId="6" r:id="rId1"/>
    <sheet name="피벗" sheetId="5" r:id="rId2"/>
    <sheet name="거래내역" sheetId="2" r:id="rId3"/>
  </sheets>
  <definedNames>
    <definedName name="_xlnm._FilterDatabase" localSheetId="2" hidden="1">거래내역!$A$7:$L$375</definedName>
    <definedName name="슬라이서_개월_거래일자">#N/A</definedName>
    <definedName name="슬라이서_계정과목">#N/A</definedName>
    <definedName name="슬라이서_년_거래일자">#N/A</definedName>
    <definedName name="슬라이서_대분류">#N/A</definedName>
    <definedName name="포함단어시작셀">거래내역!$O$8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76" i="2" l="1" a="1"/>
  <c r="H376" i="2" s="1"/>
  <c r="I376" i="2" s="1"/>
  <c r="H377" i="2" a="1"/>
  <c r="H377" i="2" s="1"/>
  <c r="I377" i="2" s="1"/>
  <c r="H378" i="2" a="1"/>
  <c r="H378" i="2" s="1"/>
  <c r="I378" i="2" s="1"/>
  <c r="H379" i="2" a="1"/>
  <c r="H379" i="2" s="1"/>
  <c r="I379" i="2" s="1"/>
  <c r="H380" i="2" a="1"/>
  <c r="H380" i="2" s="1"/>
  <c r="I380" i="2" s="1"/>
  <c r="H381" i="2" a="1"/>
  <c r="H381" i="2" s="1"/>
  <c r="I381" i="2" s="1"/>
  <c r="H382" i="2" a="1"/>
  <c r="H382" i="2" s="1"/>
  <c r="I382" i="2" s="1"/>
  <c r="H383" i="2" a="1"/>
  <c r="H383" i="2" s="1"/>
  <c r="I383" i="2" s="1"/>
  <c r="H384" i="2" a="1"/>
  <c r="H384" i="2" s="1"/>
  <c r="I384" i="2" s="1"/>
  <c r="H385" i="2" a="1"/>
  <c r="H385" i="2" s="1"/>
  <c r="I385" i="2" s="1"/>
  <c r="H386" i="2" a="1"/>
  <c r="H386" i="2" s="1"/>
  <c r="I386" i="2" s="1"/>
  <c r="H387" i="2" a="1"/>
  <c r="H387" i="2" s="1"/>
  <c r="I387" i="2" s="1"/>
  <c r="H388" i="2" a="1"/>
  <c r="H388" i="2" s="1"/>
  <c r="I388" i="2" s="1"/>
  <c r="H389" i="2" a="1"/>
  <c r="H389" i="2" s="1"/>
  <c r="I389" i="2" s="1"/>
  <c r="H390" i="2" a="1"/>
  <c r="H390" i="2" s="1"/>
  <c r="I390" i="2" s="1"/>
  <c r="H391" i="2" a="1"/>
  <c r="H391" i="2" s="1"/>
  <c r="I391" i="2" s="1"/>
  <c r="H392" i="2" a="1"/>
  <c r="H392" i="2" s="1"/>
  <c r="I392" i="2" s="1"/>
  <c r="H393" i="2" a="1"/>
  <c r="H393" i="2" s="1"/>
  <c r="I393" i="2" s="1"/>
  <c r="H394" i="2" a="1"/>
  <c r="H394" i="2" s="1"/>
  <c r="I394" i="2" s="1"/>
  <c r="H395" i="2" a="1"/>
  <c r="H395" i="2" s="1"/>
  <c r="I395" i="2" s="1"/>
  <c r="H396" i="2" a="1"/>
  <c r="H396" i="2" s="1"/>
  <c r="I396" i="2" s="1"/>
  <c r="H397" i="2" a="1"/>
  <c r="H397" i="2" s="1"/>
  <c r="I397" i="2" s="1"/>
  <c r="H398" i="2" a="1"/>
  <c r="H398" i="2" s="1"/>
  <c r="I398" i="2" s="1"/>
  <c r="H399" i="2" a="1"/>
  <c r="H399" i="2" s="1"/>
  <c r="I399" i="2" s="1"/>
  <c r="H400" i="2" a="1"/>
  <c r="H400" i="2" s="1"/>
  <c r="I400" i="2" s="1"/>
  <c r="H401" i="2" a="1"/>
  <c r="H401" i="2" s="1"/>
  <c r="I401" i="2" s="1"/>
  <c r="H402" i="2" a="1"/>
  <c r="H402" i="2" s="1"/>
  <c r="I402" i="2" s="1"/>
  <c r="H403" i="2" a="1"/>
  <c r="H403" i="2" s="1"/>
  <c r="I403" i="2" s="1"/>
  <c r="H404" i="2" a="1"/>
  <c r="H404" i="2" s="1"/>
  <c r="I404" i="2" s="1"/>
  <c r="H405" i="2" a="1"/>
  <c r="H405" i="2" s="1"/>
  <c r="I405" i="2" s="1"/>
  <c r="H406" i="2" a="1"/>
  <c r="H406" i="2" s="1"/>
  <c r="I406" i="2" s="1"/>
  <c r="H407" i="2" a="1"/>
  <c r="H407" i="2" s="1"/>
  <c r="I407" i="2" s="1"/>
  <c r="H408" i="2" a="1"/>
  <c r="H408" i="2" s="1"/>
  <c r="I408" i="2" s="1"/>
  <c r="H409" i="2" a="1"/>
  <c r="H409" i="2" s="1"/>
  <c r="I409" i="2" s="1"/>
  <c r="H410" i="2" a="1"/>
  <c r="H410" i="2" s="1"/>
  <c r="I410" i="2" s="1"/>
  <c r="H411" i="2" a="1"/>
  <c r="H411" i="2" s="1"/>
  <c r="I411" i="2" s="1"/>
  <c r="H412" i="2" a="1"/>
  <c r="H412" i="2" s="1"/>
  <c r="I412" i="2" s="1"/>
  <c r="H413" i="2" a="1"/>
  <c r="H413" i="2" s="1"/>
  <c r="I413" i="2" s="1"/>
  <c r="H414" i="2" a="1"/>
  <c r="H414" i="2" s="1"/>
  <c r="I414" i="2" s="1"/>
  <c r="H415" i="2" a="1"/>
  <c r="H415" i="2" s="1"/>
  <c r="I415" i="2" s="1"/>
  <c r="H416" i="2" a="1"/>
  <c r="H416" i="2" s="1"/>
  <c r="I416" i="2" s="1"/>
  <c r="H417" i="2" a="1"/>
  <c r="H417" i="2" s="1"/>
  <c r="I417" i="2" s="1"/>
  <c r="H418" i="2" a="1"/>
  <c r="H418" i="2" s="1"/>
  <c r="I418" i="2" s="1"/>
  <c r="H419" i="2" a="1"/>
  <c r="H419" i="2" s="1"/>
  <c r="I419" i="2" s="1"/>
  <c r="H420" i="2" a="1"/>
  <c r="H420" i="2" s="1"/>
  <c r="I420" i="2" s="1"/>
  <c r="H421" i="2" a="1"/>
  <c r="H421" i="2" s="1"/>
  <c r="I421" i="2" s="1"/>
  <c r="H422" i="2" a="1"/>
  <c r="H422" i="2" s="1"/>
  <c r="I422" i="2" s="1"/>
  <c r="H423" i="2" a="1"/>
  <c r="H423" i="2" s="1"/>
  <c r="I423" i="2" s="1"/>
  <c r="H424" i="2" a="1"/>
  <c r="H424" i="2" s="1"/>
  <c r="I424" i="2" s="1"/>
  <c r="H425" i="2" a="1"/>
  <c r="H425" i="2" s="1"/>
  <c r="I425" i="2" s="1"/>
  <c r="H426" i="2" a="1"/>
  <c r="H426" i="2" s="1"/>
  <c r="I426" i="2" s="1"/>
  <c r="H427" i="2" a="1"/>
  <c r="H427" i="2" s="1"/>
  <c r="I427" i="2" s="1"/>
  <c r="H428" i="2" a="1"/>
  <c r="H428" i="2" s="1"/>
  <c r="I428" i="2" s="1"/>
  <c r="H429" i="2" a="1"/>
  <c r="H429" i="2" s="1"/>
  <c r="I429" i="2" s="1"/>
  <c r="H430" i="2" a="1"/>
  <c r="H430" i="2" s="1"/>
  <c r="I430" i="2" s="1"/>
  <c r="H431" i="2" a="1"/>
  <c r="H431" i="2" s="1"/>
  <c r="I431" i="2" s="1"/>
  <c r="H432" i="2" a="1"/>
  <c r="H432" i="2" s="1"/>
  <c r="I432" i="2" s="1"/>
  <c r="H433" i="2" a="1"/>
  <c r="H433" i="2" s="1"/>
  <c r="I433" i="2" s="1"/>
  <c r="H434" i="2" a="1"/>
  <c r="H434" i="2" s="1"/>
  <c r="I434" i="2" s="1"/>
  <c r="H435" i="2" a="1"/>
  <c r="H435" i="2" s="1"/>
  <c r="I435" i="2" s="1"/>
  <c r="H436" i="2" a="1"/>
  <c r="H436" i="2" s="1"/>
  <c r="I436" i="2" s="1"/>
  <c r="H437" i="2" a="1"/>
  <c r="H437" i="2" s="1"/>
  <c r="I437" i="2" s="1"/>
  <c r="H438" i="2" a="1"/>
  <c r="H438" i="2" s="1"/>
  <c r="I438" i="2" s="1"/>
  <c r="H439" i="2" a="1"/>
  <c r="H439" i="2" s="1"/>
  <c r="I439" i="2" s="1"/>
  <c r="H440" i="2" a="1"/>
  <c r="H440" i="2" s="1"/>
  <c r="I440" i="2" s="1"/>
  <c r="H441" i="2" a="1"/>
  <c r="H441" i="2" s="1"/>
  <c r="I441" i="2" s="1"/>
  <c r="H442" i="2" a="1"/>
  <c r="H442" i="2" s="1"/>
  <c r="I442" i="2" s="1"/>
  <c r="H443" i="2" a="1"/>
  <c r="H443" i="2" s="1"/>
  <c r="I443" i="2" s="1"/>
  <c r="H444" i="2" a="1"/>
  <c r="H444" i="2" s="1"/>
  <c r="I444" i="2" s="1"/>
  <c r="H445" i="2" a="1"/>
  <c r="H445" i="2" s="1"/>
  <c r="I445" i="2" s="1"/>
  <c r="H446" i="2" a="1"/>
  <c r="H446" i="2" s="1"/>
  <c r="I446" i="2" s="1"/>
  <c r="H447" i="2" a="1"/>
  <c r="H447" i="2" s="1"/>
  <c r="I447" i="2" s="1"/>
  <c r="H448" i="2" a="1"/>
  <c r="H448" i="2" s="1"/>
  <c r="I448" i="2" s="1"/>
  <c r="H449" i="2" a="1"/>
  <c r="H449" i="2" s="1"/>
  <c r="I449" i="2" s="1"/>
  <c r="H450" i="2" a="1"/>
  <c r="H450" i="2" s="1"/>
  <c r="I450" i="2" s="1"/>
  <c r="H451" i="2" a="1"/>
  <c r="H451" i="2" s="1"/>
  <c r="I451" i="2" s="1"/>
  <c r="H452" i="2" a="1"/>
  <c r="H452" i="2" s="1"/>
  <c r="I452" i="2" s="1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H375" i="2" a="1"/>
  <c r="H375" i="2" s="1"/>
  <c r="I375" i="2" s="1"/>
  <c r="H374" i="2" a="1"/>
  <c r="H374" i="2" s="1"/>
  <c r="H373" i="2" a="1"/>
  <c r="H373" i="2" s="1"/>
  <c r="I373" i="2" s="1"/>
  <c r="H372" i="2" a="1"/>
  <c r="H372" i="2" s="1"/>
  <c r="H371" i="2" a="1"/>
  <c r="H371" i="2" s="1"/>
  <c r="I371" i="2" s="1"/>
  <c r="H370" i="2" a="1"/>
  <c r="H370" i="2" s="1"/>
  <c r="H369" i="2" a="1"/>
  <c r="H369" i="2" s="1"/>
  <c r="H368" i="2" a="1"/>
  <c r="H368" i="2" s="1"/>
  <c r="I368" i="2" s="1"/>
  <c r="H367" i="2" a="1"/>
  <c r="H367" i="2" s="1"/>
  <c r="I367" i="2" s="1"/>
  <c r="H366" i="2" a="1"/>
  <c r="H366" i="2" s="1"/>
  <c r="H365" i="2" a="1"/>
  <c r="H365" i="2" s="1"/>
  <c r="I365" i="2" s="1"/>
  <c r="H364" i="2" a="1"/>
  <c r="H364" i="2" s="1"/>
  <c r="H363" i="2" a="1"/>
  <c r="H363" i="2" s="1"/>
  <c r="I363" i="2" s="1"/>
  <c r="H362" i="2" a="1"/>
  <c r="H362" i="2" s="1"/>
  <c r="I362" i="2" s="1"/>
  <c r="H361" i="2" a="1"/>
  <c r="H361" i="2" s="1"/>
  <c r="I361" i="2" s="1"/>
  <c r="H360" i="2" a="1"/>
  <c r="H360" i="2" s="1"/>
  <c r="I360" i="2" s="1"/>
  <c r="H359" i="2" a="1"/>
  <c r="H359" i="2" s="1"/>
  <c r="I359" i="2" s="1"/>
  <c r="H358" i="2" a="1"/>
  <c r="H358" i="2" s="1"/>
  <c r="H357" i="2" a="1"/>
  <c r="H357" i="2" s="1"/>
  <c r="I357" i="2" s="1"/>
  <c r="H356" i="2" a="1"/>
  <c r="H356" i="2" s="1"/>
  <c r="H355" i="2" a="1"/>
  <c r="H355" i="2" s="1"/>
  <c r="I355" i="2" s="1"/>
  <c r="H354" i="2" a="1"/>
  <c r="H354" i="2" s="1"/>
  <c r="I354" i="2" s="1"/>
  <c r="H353" i="2" a="1"/>
  <c r="H353" i="2" s="1"/>
  <c r="H352" i="2" a="1"/>
  <c r="H352" i="2" s="1"/>
  <c r="I352" i="2" s="1"/>
  <c r="H351" i="2" a="1"/>
  <c r="H351" i="2" s="1"/>
  <c r="I351" i="2" s="1"/>
  <c r="H350" i="2" a="1"/>
  <c r="H350" i="2" s="1"/>
  <c r="H349" i="2" a="1"/>
  <c r="H349" i="2" s="1"/>
  <c r="I349" i="2" s="1"/>
  <c r="H348" i="2" a="1"/>
  <c r="H348" i="2" s="1"/>
  <c r="I348" i="2" s="1"/>
  <c r="H347" i="2" a="1"/>
  <c r="H347" i="2" s="1"/>
  <c r="I347" i="2" s="1"/>
  <c r="H346" i="2" a="1"/>
  <c r="H346" i="2" s="1"/>
  <c r="I346" i="2" s="1"/>
  <c r="H345" i="2" a="1"/>
  <c r="H345" i="2" s="1"/>
  <c r="I345" i="2" s="1"/>
  <c r="H344" i="2" a="1"/>
  <c r="H344" i="2" s="1"/>
  <c r="I344" i="2" s="1"/>
  <c r="H343" i="2" a="1"/>
  <c r="H343" i="2" s="1"/>
  <c r="I343" i="2" s="1"/>
  <c r="H342" i="2" a="1"/>
  <c r="H342" i="2" s="1"/>
  <c r="H341" i="2" a="1"/>
  <c r="H341" i="2" s="1"/>
  <c r="I341" i="2" s="1"/>
  <c r="H340" i="2" a="1"/>
  <c r="H340" i="2" s="1"/>
  <c r="H339" i="2" a="1"/>
  <c r="H339" i="2" s="1"/>
  <c r="I339" i="2" s="1"/>
  <c r="H338" i="2" a="1"/>
  <c r="H338" i="2" s="1"/>
  <c r="I338" i="2" s="1"/>
  <c r="H337" i="2" a="1"/>
  <c r="H337" i="2" s="1"/>
  <c r="H336" i="2" a="1"/>
  <c r="H336" i="2" s="1"/>
  <c r="I336" i="2" s="1"/>
  <c r="H335" i="2" a="1"/>
  <c r="H335" i="2" s="1"/>
  <c r="I335" i="2" s="1"/>
  <c r="H334" i="2" a="1"/>
  <c r="H334" i="2" s="1"/>
  <c r="I334" i="2" s="1"/>
  <c r="H333" i="2" a="1"/>
  <c r="H333" i="2" s="1"/>
  <c r="H332" i="2" a="1"/>
  <c r="H332" i="2" s="1"/>
  <c r="I332" i="2" s="1"/>
  <c r="H331" i="2" a="1"/>
  <c r="H331" i="2" s="1"/>
  <c r="I331" i="2" s="1"/>
  <c r="H330" i="2" a="1"/>
  <c r="H330" i="2" s="1"/>
  <c r="I330" i="2" s="1"/>
  <c r="H329" i="2" a="1"/>
  <c r="H329" i="2" s="1"/>
  <c r="I329" i="2" s="1"/>
  <c r="H328" i="2" a="1"/>
  <c r="H328" i="2" s="1"/>
  <c r="I328" i="2" s="1"/>
  <c r="H327" i="2" a="1"/>
  <c r="H327" i="2" s="1"/>
  <c r="I327" i="2" s="1"/>
  <c r="H326" i="2" a="1"/>
  <c r="H326" i="2" s="1"/>
  <c r="I326" i="2" s="1"/>
  <c r="H325" i="2" a="1"/>
  <c r="H325" i="2" s="1"/>
  <c r="H324" i="2" a="1"/>
  <c r="H324" i="2" s="1"/>
  <c r="I324" i="2" s="1"/>
  <c r="H323" i="2" a="1"/>
  <c r="H323" i="2" s="1"/>
  <c r="I323" i="2" s="1"/>
  <c r="H322" i="2" a="1"/>
  <c r="H322" i="2" s="1"/>
  <c r="I322" i="2" s="1"/>
  <c r="H321" i="2" a="1"/>
  <c r="H321" i="2" s="1"/>
  <c r="I321" i="2" s="1"/>
  <c r="H320" i="2" a="1"/>
  <c r="H320" i="2" s="1"/>
  <c r="I320" i="2" s="1"/>
  <c r="H319" i="2" a="1"/>
  <c r="H319" i="2" s="1"/>
  <c r="I319" i="2" s="1"/>
  <c r="H318" i="2" a="1"/>
  <c r="H318" i="2" s="1"/>
  <c r="H317" i="2" a="1"/>
  <c r="H317" i="2" s="1"/>
  <c r="I317" i="2" s="1"/>
  <c r="H316" i="2" a="1"/>
  <c r="H316" i="2" s="1"/>
  <c r="I316" i="2" s="1"/>
  <c r="H315" i="2" a="1"/>
  <c r="H315" i="2" s="1"/>
  <c r="I315" i="2" s="1"/>
  <c r="H314" i="2" a="1"/>
  <c r="H314" i="2" s="1"/>
  <c r="I314" i="2" s="1"/>
  <c r="H313" i="2" a="1"/>
  <c r="H313" i="2" s="1"/>
  <c r="I313" i="2" s="1"/>
  <c r="H312" i="2" a="1"/>
  <c r="H312" i="2" s="1"/>
  <c r="I312" i="2" s="1"/>
  <c r="H311" i="2" a="1"/>
  <c r="H311" i="2" s="1"/>
  <c r="I311" i="2" s="1"/>
  <c r="H310" i="2" a="1"/>
  <c r="H310" i="2" s="1"/>
  <c r="H309" i="2" a="1"/>
  <c r="H309" i="2" s="1"/>
  <c r="I309" i="2" s="1"/>
  <c r="H308" i="2" a="1"/>
  <c r="H308" i="2" s="1"/>
  <c r="H307" i="2" a="1"/>
  <c r="H307" i="2" s="1"/>
  <c r="I307" i="2" s="1"/>
  <c r="H306" i="2" a="1"/>
  <c r="H306" i="2" s="1"/>
  <c r="I306" i="2" s="1"/>
  <c r="H305" i="2" a="1"/>
  <c r="H305" i="2" s="1"/>
  <c r="I305" i="2" s="1"/>
  <c r="H304" i="2" a="1"/>
  <c r="H304" i="2" s="1"/>
  <c r="I304" i="2" s="1"/>
  <c r="H303" i="2" a="1"/>
  <c r="H303" i="2" s="1"/>
  <c r="I303" i="2" s="1"/>
  <c r="H302" i="2" a="1"/>
  <c r="H302" i="2" s="1"/>
  <c r="H301" i="2" a="1"/>
  <c r="H301" i="2" s="1"/>
  <c r="I301" i="2" s="1"/>
  <c r="H300" i="2" a="1"/>
  <c r="H300" i="2" s="1"/>
  <c r="I300" i="2" s="1"/>
  <c r="H299" i="2" a="1"/>
  <c r="H299" i="2" s="1"/>
  <c r="I299" i="2" s="1"/>
  <c r="H298" i="2" a="1"/>
  <c r="H298" i="2" s="1"/>
  <c r="I298" i="2" s="1"/>
  <c r="H297" i="2" a="1"/>
  <c r="H297" i="2" s="1"/>
  <c r="I297" i="2" s="1"/>
  <c r="H296" i="2" a="1"/>
  <c r="H296" i="2" s="1"/>
  <c r="I296" i="2" s="1"/>
  <c r="H295" i="2" a="1"/>
  <c r="H295" i="2" s="1"/>
  <c r="I295" i="2" s="1"/>
  <c r="H294" i="2" a="1"/>
  <c r="H294" i="2" s="1"/>
  <c r="H293" i="2" a="1"/>
  <c r="H293" i="2" s="1"/>
  <c r="I293" i="2" s="1"/>
  <c r="H292" i="2" a="1"/>
  <c r="H292" i="2" s="1"/>
  <c r="I292" i="2" s="1"/>
  <c r="H291" i="2" a="1"/>
  <c r="H291" i="2" s="1"/>
  <c r="I291" i="2" s="1"/>
  <c r="H290" i="2" a="1"/>
  <c r="H290" i="2" s="1"/>
  <c r="I290" i="2" s="1"/>
  <c r="H289" i="2" a="1"/>
  <c r="H289" i="2" s="1"/>
  <c r="I289" i="2" s="1"/>
  <c r="H288" i="2" a="1"/>
  <c r="H288" i="2" s="1"/>
  <c r="I288" i="2" s="1"/>
  <c r="H287" i="2" a="1"/>
  <c r="H287" i="2" s="1"/>
  <c r="I287" i="2" s="1"/>
  <c r="H286" i="2" a="1"/>
  <c r="H286" i="2" s="1"/>
  <c r="H285" i="2" a="1"/>
  <c r="H285" i="2" s="1"/>
  <c r="I285" i="2" s="1"/>
  <c r="H284" i="2" a="1"/>
  <c r="H284" i="2" s="1"/>
  <c r="I284" i="2" s="1"/>
  <c r="H283" i="2" a="1"/>
  <c r="H283" i="2" s="1"/>
  <c r="H282" i="2" a="1"/>
  <c r="H282" i="2" s="1"/>
  <c r="I282" i="2" s="1"/>
  <c r="H281" i="2" a="1"/>
  <c r="H281" i="2" s="1"/>
  <c r="I281" i="2" s="1"/>
  <c r="H280" i="2" a="1"/>
  <c r="H280" i="2" s="1"/>
  <c r="I280" i="2" s="1"/>
  <c r="H279" i="2" a="1"/>
  <c r="H279" i="2" s="1"/>
  <c r="I279" i="2" s="1"/>
  <c r="H278" i="2" a="1"/>
  <c r="H278" i="2" s="1"/>
  <c r="I278" i="2" s="1"/>
  <c r="H277" i="2" a="1"/>
  <c r="H277" i="2" s="1"/>
  <c r="I277" i="2" s="1"/>
  <c r="H276" i="2" a="1"/>
  <c r="H276" i="2" s="1"/>
  <c r="H275" i="2" a="1"/>
  <c r="H275" i="2" s="1"/>
  <c r="I275" i="2" s="1"/>
  <c r="H274" i="2" a="1"/>
  <c r="H274" i="2" s="1"/>
  <c r="I274" i="2" s="1"/>
  <c r="H273" i="2" a="1"/>
  <c r="H273" i="2" s="1"/>
  <c r="H272" i="2" a="1"/>
  <c r="H272" i="2" s="1"/>
  <c r="I272" i="2" s="1"/>
  <c r="H271" i="2" a="1"/>
  <c r="H271" i="2" s="1"/>
  <c r="I271" i="2" s="1"/>
  <c r="H270" i="2" a="1"/>
  <c r="H270" i="2" s="1"/>
  <c r="I270" i="2" s="1"/>
  <c r="H269" i="2" a="1"/>
  <c r="H269" i="2" s="1"/>
  <c r="H268" i="2" a="1"/>
  <c r="H268" i="2" s="1"/>
  <c r="I268" i="2" s="1"/>
  <c r="H267" i="2" a="1"/>
  <c r="H267" i="2" s="1"/>
  <c r="I267" i="2" s="1"/>
  <c r="H266" i="2" a="1"/>
  <c r="H266" i="2" s="1"/>
  <c r="I266" i="2" s="1"/>
  <c r="H265" i="2" a="1"/>
  <c r="H265" i="2" s="1"/>
  <c r="I265" i="2" s="1"/>
  <c r="H264" i="2" a="1"/>
  <c r="H264" i="2" s="1"/>
  <c r="I264" i="2" s="1"/>
  <c r="H263" i="2" a="1"/>
  <c r="H263" i="2" s="1"/>
  <c r="I263" i="2" s="1"/>
  <c r="H262" i="2" a="1"/>
  <c r="H262" i="2" s="1"/>
  <c r="H261" i="2" a="1"/>
  <c r="H261" i="2" s="1"/>
  <c r="H260" i="2" a="1"/>
  <c r="H260" i="2" s="1"/>
  <c r="I260" i="2" s="1"/>
  <c r="H259" i="2" a="1"/>
  <c r="H259" i="2" s="1"/>
  <c r="I259" i="2" s="1"/>
  <c r="H258" i="2" a="1"/>
  <c r="H258" i="2" s="1"/>
  <c r="I258" i="2" s="1"/>
  <c r="H257" i="2" a="1"/>
  <c r="H257" i="2" s="1"/>
  <c r="H256" i="2" a="1"/>
  <c r="H256" i="2" s="1"/>
  <c r="I256" i="2" s="1"/>
  <c r="H255" i="2" a="1"/>
  <c r="H255" i="2" s="1"/>
  <c r="I255" i="2" s="1"/>
  <c r="H254" i="2" a="1"/>
  <c r="H254" i="2" s="1"/>
  <c r="I254" i="2" s="1"/>
  <c r="H253" i="2" a="1"/>
  <c r="H253" i="2" s="1"/>
  <c r="H252" i="2" a="1"/>
  <c r="H252" i="2" s="1"/>
  <c r="I252" i="2" s="1"/>
  <c r="H251" i="2" a="1"/>
  <c r="H251" i="2" s="1"/>
  <c r="H250" i="2" a="1"/>
  <c r="H250" i="2" s="1"/>
  <c r="I250" i="2" s="1"/>
  <c r="H249" i="2" a="1"/>
  <c r="H249" i="2" s="1"/>
  <c r="I249" i="2" s="1"/>
  <c r="H248" i="2" a="1"/>
  <c r="H248" i="2" s="1"/>
  <c r="I248" i="2" s="1"/>
  <c r="H247" i="2" a="1"/>
  <c r="H247" i="2" s="1"/>
  <c r="I247" i="2" s="1"/>
  <c r="H246" i="2" a="1"/>
  <c r="H246" i="2" s="1"/>
  <c r="I246" i="2" s="1"/>
  <c r="H245" i="2" a="1"/>
  <c r="H245" i="2" s="1"/>
  <c r="I245" i="2" s="1"/>
  <c r="H244" i="2" a="1"/>
  <c r="H244" i="2" s="1"/>
  <c r="H243" i="2" a="1"/>
  <c r="H243" i="2" s="1"/>
  <c r="H242" i="2" a="1"/>
  <c r="H242" i="2" s="1"/>
  <c r="I242" i="2" s="1"/>
  <c r="H241" i="2" a="1"/>
  <c r="H241" i="2" s="1"/>
  <c r="H240" i="2" a="1"/>
  <c r="H240" i="2" s="1"/>
  <c r="I240" i="2" s="1"/>
  <c r="H239" i="2" a="1"/>
  <c r="H239" i="2" s="1"/>
  <c r="I239" i="2" s="1"/>
  <c r="H238" i="2" a="1"/>
  <c r="H238" i="2" s="1"/>
  <c r="I238" i="2" s="1"/>
  <c r="H237" i="2" a="1"/>
  <c r="H237" i="2" s="1"/>
  <c r="H236" i="2" a="1"/>
  <c r="H236" i="2" s="1"/>
  <c r="I236" i="2" s="1"/>
  <c r="H235" i="2" a="1"/>
  <c r="H235" i="2" s="1"/>
  <c r="I235" i="2" s="1"/>
  <c r="H234" i="2" a="1"/>
  <c r="H234" i="2" s="1"/>
  <c r="I234" i="2" s="1"/>
  <c r="H233" i="2" a="1"/>
  <c r="H233" i="2" s="1"/>
  <c r="I233" i="2" s="1"/>
  <c r="H232" i="2" a="1"/>
  <c r="H232" i="2" s="1"/>
  <c r="I232" i="2" s="1"/>
  <c r="H231" i="2" a="1"/>
  <c r="H231" i="2" s="1"/>
  <c r="I231" i="2" s="1"/>
  <c r="H230" i="2" a="1"/>
  <c r="H230" i="2" s="1"/>
  <c r="H229" i="2" a="1"/>
  <c r="H229" i="2" s="1"/>
  <c r="H228" i="2" a="1"/>
  <c r="H228" i="2" s="1"/>
  <c r="I228" i="2" s="1"/>
  <c r="H227" i="2" a="1"/>
  <c r="H227" i="2" s="1"/>
  <c r="I227" i="2" s="1"/>
  <c r="H226" i="2" a="1"/>
  <c r="H226" i="2" s="1"/>
  <c r="I226" i="2" s="1"/>
  <c r="H225" i="2" a="1"/>
  <c r="H225" i="2" s="1"/>
  <c r="I225" i="2" s="1"/>
  <c r="H224" i="2" a="1"/>
  <c r="H224" i="2" s="1"/>
  <c r="I224" i="2" s="1"/>
  <c r="H223" i="2" a="1"/>
  <c r="H223" i="2" s="1"/>
  <c r="I223" i="2" s="1"/>
  <c r="H222" i="2" a="1"/>
  <c r="H222" i="2" s="1"/>
  <c r="I222" i="2" s="1"/>
  <c r="H221" i="2" a="1"/>
  <c r="H221" i="2" s="1"/>
  <c r="I221" i="2" s="1"/>
  <c r="H220" i="2" a="1"/>
  <c r="H220" i="2" s="1"/>
  <c r="I220" i="2" s="1"/>
  <c r="H219" i="2" a="1"/>
  <c r="H219" i="2" s="1"/>
  <c r="I219" i="2" s="1"/>
  <c r="H218" i="2" a="1"/>
  <c r="H218" i="2" s="1"/>
  <c r="I218" i="2" s="1"/>
  <c r="H217" i="2" a="1"/>
  <c r="H217" i="2" s="1"/>
  <c r="I217" i="2" s="1"/>
  <c r="H216" i="2" a="1"/>
  <c r="H216" i="2" s="1"/>
  <c r="I216" i="2" s="1"/>
  <c r="H215" i="2" a="1"/>
  <c r="H215" i="2" s="1"/>
  <c r="I215" i="2" s="1"/>
  <c r="H214" i="2" a="1"/>
  <c r="H214" i="2" s="1"/>
  <c r="H213" i="2" a="1"/>
  <c r="H213" i="2" s="1"/>
  <c r="I213" i="2" s="1"/>
  <c r="H212" i="2" a="1"/>
  <c r="H212" i="2" s="1"/>
  <c r="H211" i="2" a="1"/>
  <c r="H211" i="2" s="1"/>
  <c r="I211" i="2" s="1"/>
  <c r="H210" i="2" a="1"/>
  <c r="H210" i="2" s="1"/>
  <c r="I210" i="2" s="1"/>
  <c r="H209" i="2" a="1"/>
  <c r="H209" i="2" s="1"/>
  <c r="I209" i="2" s="1"/>
  <c r="H208" i="2" a="1"/>
  <c r="H208" i="2" s="1"/>
  <c r="I208" i="2" s="1"/>
  <c r="H207" i="2" a="1"/>
  <c r="H207" i="2" s="1"/>
  <c r="I207" i="2" s="1"/>
  <c r="H206" i="2" a="1"/>
  <c r="H206" i="2" s="1"/>
  <c r="I206" i="2" s="1"/>
  <c r="H205" i="2" a="1"/>
  <c r="H205" i="2" s="1"/>
  <c r="I205" i="2" s="1"/>
  <c r="H204" i="2" a="1"/>
  <c r="H204" i="2" s="1"/>
  <c r="I204" i="2" s="1"/>
  <c r="H203" i="2" a="1"/>
  <c r="H203" i="2" s="1"/>
  <c r="I203" i="2" s="1"/>
  <c r="H202" i="2" a="1"/>
  <c r="H202" i="2" s="1"/>
  <c r="I202" i="2" s="1"/>
  <c r="H201" i="2" a="1"/>
  <c r="H201" i="2" s="1"/>
  <c r="I201" i="2" s="1"/>
  <c r="H200" i="2" a="1"/>
  <c r="H200" i="2" s="1"/>
  <c r="I200" i="2" s="1"/>
  <c r="H199" i="2" a="1"/>
  <c r="H199" i="2" s="1"/>
  <c r="I199" i="2" s="1"/>
  <c r="H198" i="2" a="1"/>
  <c r="H198" i="2" s="1"/>
  <c r="H197" i="2" a="1"/>
  <c r="H197" i="2" s="1"/>
  <c r="H196" i="2" a="1"/>
  <c r="H196" i="2" s="1"/>
  <c r="I196" i="2" s="1"/>
  <c r="H195" i="2" a="1"/>
  <c r="H195" i="2" s="1"/>
  <c r="I195" i="2" s="1"/>
  <c r="H194" i="2" a="1"/>
  <c r="H194" i="2" s="1"/>
  <c r="I194" i="2" s="1"/>
  <c r="H193" i="2" a="1"/>
  <c r="H193" i="2" s="1"/>
  <c r="H192" i="2" a="1"/>
  <c r="H192" i="2" s="1"/>
  <c r="I192" i="2" s="1"/>
  <c r="H191" i="2" a="1"/>
  <c r="H191" i="2" s="1"/>
  <c r="I191" i="2" s="1"/>
  <c r="H190" i="2" a="1"/>
  <c r="H190" i="2" s="1"/>
  <c r="H189" i="2" a="1"/>
  <c r="H189" i="2" s="1"/>
  <c r="I189" i="2" s="1"/>
  <c r="H188" i="2" a="1"/>
  <c r="H188" i="2" s="1"/>
  <c r="I188" i="2" s="1"/>
  <c r="H187" i="2" a="1"/>
  <c r="H187" i="2" s="1"/>
  <c r="I187" i="2" s="1"/>
  <c r="H186" i="2" a="1"/>
  <c r="H186" i="2" s="1"/>
  <c r="I186" i="2" s="1"/>
  <c r="H185" i="2" a="1"/>
  <c r="H185" i="2" s="1"/>
  <c r="I185" i="2" s="1"/>
  <c r="H184" i="2" a="1"/>
  <c r="H184" i="2" s="1"/>
  <c r="I184" i="2" s="1"/>
  <c r="H183" i="2" a="1"/>
  <c r="H183" i="2" s="1"/>
  <c r="I183" i="2" s="1"/>
  <c r="H182" i="2" a="1"/>
  <c r="H182" i="2" s="1"/>
  <c r="I182" i="2" s="1"/>
  <c r="H181" i="2" a="1"/>
  <c r="H181" i="2" s="1"/>
  <c r="H180" i="2" a="1"/>
  <c r="H180" i="2" s="1"/>
  <c r="I180" i="2" s="1"/>
  <c r="H179" i="2" a="1"/>
  <c r="H179" i="2" s="1"/>
  <c r="I179" i="2" s="1"/>
  <c r="H178" i="2" a="1"/>
  <c r="H178" i="2" s="1"/>
  <c r="I178" i="2" s="1"/>
  <c r="H177" i="2" a="1"/>
  <c r="H177" i="2" s="1"/>
  <c r="I177" i="2" s="1"/>
  <c r="H176" i="2" a="1"/>
  <c r="H176" i="2" s="1"/>
  <c r="I176" i="2" s="1"/>
  <c r="H175" i="2" a="1"/>
  <c r="H175" i="2" s="1"/>
  <c r="I175" i="2" s="1"/>
  <c r="H174" i="2" a="1"/>
  <c r="H174" i="2" s="1"/>
  <c r="I174" i="2" s="1"/>
  <c r="H173" i="2" a="1"/>
  <c r="H173" i="2" s="1"/>
  <c r="H172" i="2" a="1"/>
  <c r="H172" i="2" s="1"/>
  <c r="I172" i="2" s="1"/>
  <c r="H171" i="2" a="1"/>
  <c r="H171" i="2" s="1"/>
  <c r="I171" i="2" s="1"/>
  <c r="H170" i="2" a="1"/>
  <c r="H170" i="2" s="1"/>
  <c r="I170" i="2" s="1"/>
  <c r="H169" i="2" a="1"/>
  <c r="H169" i="2" s="1"/>
  <c r="I169" i="2" s="1"/>
  <c r="H168" i="2" a="1"/>
  <c r="H168" i="2" s="1"/>
  <c r="I168" i="2" s="1"/>
  <c r="H167" i="2" a="1"/>
  <c r="H167" i="2" s="1"/>
  <c r="I167" i="2" s="1"/>
  <c r="H166" i="2" a="1"/>
  <c r="H166" i="2" s="1"/>
  <c r="H165" i="2" a="1"/>
  <c r="H165" i="2" s="1"/>
  <c r="I165" i="2" s="1"/>
  <c r="H164" i="2" a="1"/>
  <c r="H164" i="2" s="1"/>
  <c r="I164" i="2" s="1"/>
  <c r="H163" i="2" a="1"/>
  <c r="H163" i="2" s="1"/>
  <c r="I163" i="2" s="1"/>
  <c r="H162" i="2" a="1"/>
  <c r="H162" i="2" s="1"/>
  <c r="I162" i="2" s="1"/>
  <c r="H161" i="2" a="1"/>
  <c r="H161" i="2" s="1"/>
  <c r="I161" i="2" s="1"/>
  <c r="H160" i="2" a="1"/>
  <c r="H160" i="2" s="1"/>
  <c r="I160" i="2" s="1"/>
  <c r="H159" i="2" a="1"/>
  <c r="H159" i="2" s="1"/>
  <c r="I159" i="2" s="1"/>
  <c r="H158" i="2" a="1"/>
  <c r="H158" i="2" s="1"/>
  <c r="H157" i="2" a="1"/>
  <c r="H157" i="2" s="1"/>
  <c r="H156" i="2" a="1"/>
  <c r="H156" i="2" s="1"/>
  <c r="I156" i="2" s="1"/>
  <c r="H155" i="2" a="1"/>
  <c r="H155" i="2" s="1"/>
  <c r="I155" i="2" s="1"/>
  <c r="H154" i="2" a="1"/>
  <c r="H154" i="2" s="1"/>
  <c r="I154" i="2" s="1"/>
  <c r="H153" i="2" a="1"/>
  <c r="H153" i="2" s="1"/>
  <c r="I153" i="2" s="1"/>
  <c r="H152" i="2" a="1"/>
  <c r="H152" i="2" s="1"/>
  <c r="I152" i="2" s="1"/>
  <c r="H151" i="2" a="1"/>
  <c r="H151" i="2" s="1"/>
  <c r="I151" i="2" s="1"/>
  <c r="H150" i="2" a="1"/>
  <c r="H150" i="2" s="1"/>
  <c r="H149" i="2" a="1"/>
  <c r="H149" i="2" s="1"/>
  <c r="I149" i="2" s="1"/>
  <c r="H148" i="2" a="1"/>
  <c r="H148" i="2" s="1"/>
  <c r="I148" i="2" s="1"/>
  <c r="H147" i="2" a="1"/>
  <c r="H147" i="2" s="1"/>
  <c r="I147" i="2" s="1"/>
  <c r="H146" i="2" a="1"/>
  <c r="H146" i="2" s="1"/>
  <c r="I146" i="2" s="1"/>
  <c r="H145" i="2" a="1"/>
  <c r="H145" i="2" s="1"/>
  <c r="H144" i="2" a="1"/>
  <c r="H144" i="2" s="1"/>
  <c r="I144" i="2" s="1"/>
  <c r="H143" i="2" a="1"/>
  <c r="H143" i="2" s="1"/>
  <c r="I143" i="2" s="1"/>
  <c r="H142" i="2" a="1"/>
  <c r="H142" i="2" s="1"/>
  <c r="I142" i="2" s="1"/>
  <c r="H141" i="2" a="1"/>
  <c r="H141" i="2" s="1"/>
  <c r="I141" i="2" s="1"/>
  <c r="H140" i="2" a="1"/>
  <c r="H140" i="2" s="1"/>
  <c r="I140" i="2" s="1"/>
  <c r="H139" i="2" a="1"/>
  <c r="H139" i="2" s="1"/>
  <c r="I139" i="2" s="1"/>
  <c r="H138" i="2" a="1"/>
  <c r="H138" i="2" s="1"/>
  <c r="I138" i="2" s="1"/>
  <c r="H137" i="2" a="1"/>
  <c r="H137" i="2" s="1"/>
  <c r="I137" i="2" s="1"/>
  <c r="H136" i="2" a="1"/>
  <c r="H136" i="2" s="1"/>
  <c r="I136" i="2" s="1"/>
  <c r="H135" i="2" a="1"/>
  <c r="H135" i="2" s="1"/>
  <c r="I135" i="2" s="1"/>
  <c r="H134" i="2" a="1"/>
  <c r="H134" i="2" s="1"/>
  <c r="H133" i="2" a="1"/>
  <c r="H133" i="2" s="1"/>
  <c r="I133" i="2" s="1"/>
  <c r="H132" i="2" a="1"/>
  <c r="H132" i="2" s="1"/>
  <c r="I132" i="2" s="1"/>
  <c r="H131" i="2" a="1"/>
  <c r="H131" i="2" s="1"/>
  <c r="I131" i="2" s="1"/>
  <c r="H130" i="2" a="1"/>
  <c r="H130" i="2" s="1"/>
  <c r="I130" i="2" s="1"/>
  <c r="H129" i="2" a="1"/>
  <c r="H129" i="2" s="1"/>
  <c r="H128" i="2" a="1"/>
  <c r="H128" i="2" s="1"/>
  <c r="I128" i="2" s="1"/>
  <c r="H127" i="2" a="1"/>
  <c r="H127" i="2" s="1"/>
  <c r="I127" i="2" s="1"/>
  <c r="H126" i="2" a="1"/>
  <c r="H126" i="2" s="1"/>
  <c r="I126" i="2" s="1"/>
  <c r="H125" i="2" a="1"/>
  <c r="H125" i="2" s="1"/>
  <c r="I125" i="2" s="1"/>
  <c r="H124" i="2" a="1"/>
  <c r="H124" i="2" s="1"/>
  <c r="I124" i="2" s="1"/>
  <c r="H123" i="2" a="1"/>
  <c r="H123" i="2" s="1"/>
  <c r="H122" i="2" a="1"/>
  <c r="H122" i="2" s="1"/>
  <c r="I122" i="2" s="1"/>
  <c r="H121" i="2" a="1"/>
  <c r="H121" i="2" s="1"/>
  <c r="I121" i="2" s="1"/>
  <c r="H120" i="2" a="1"/>
  <c r="H120" i="2" s="1"/>
  <c r="I120" i="2" s="1"/>
  <c r="H119" i="2" a="1"/>
  <c r="H119" i="2" s="1"/>
  <c r="I119" i="2" s="1"/>
  <c r="H118" i="2" a="1"/>
  <c r="H118" i="2" s="1"/>
  <c r="I118" i="2" s="1"/>
  <c r="H117" i="2" a="1"/>
  <c r="H117" i="2" s="1"/>
  <c r="I117" i="2" s="1"/>
  <c r="H116" i="2" a="1"/>
  <c r="H116" i="2" s="1"/>
  <c r="I116" i="2" s="1"/>
  <c r="H115" i="2" a="1"/>
  <c r="H115" i="2" s="1"/>
  <c r="I115" i="2" s="1"/>
  <c r="H114" i="2" a="1"/>
  <c r="H114" i="2" s="1"/>
  <c r="I114" i="2" s="1"/>
  <c r="H113" i="2" a="1"/>
  <c r="H113" i="2" s="1"/>
  <c r="I113" i="2" s="1"/>
  <c r="H112" i="2" a="1"/>
  <c r="H112" i="2" s="1"/>
  <c r="I112" i="2" s="1"/>
  <c r="H111" i="2" a="1"/>
  <c r="H111" i="2" s="1"/>
  <c r="I111" i="2" s="1"/>
  <c r="H110" i="2" a="1"/>
  <c r="H110" i="2" s="1"/>
  <c r="H109" i="2" a="1"/>
  <c r="H109" i="2" s="1"/>
  <c r="I109" i="2" s="1"/>
  <c r="H108" i="2" a="1"/>
  <c r="H108" i="2" s="1"/>
  <c r="I108" i="2" s="1"/>
  <c r="H107" i="2" a="1"/>
  <c r="H107" i="2" s="1"/>
  <c r="I107" i="2" s="1"/>
  <c r="H106" i="2" a="1"/>
  <c r="H106" i="2" s="1"/>
  <c r="I106" i="2" s="1"/>
  <c r="H105" i="2" a="1"/>
  <c r="H105" i="2" s="1"/>
  <c r="I105" i="2" s="1"/>
  <c r="H104" i="2" a="1"/>
  <c r="H104" i="2" s="1"/>
  <c r="I104" i="2" s="1"/>
  <c r="H103" i="2" a="1"/>
  <c r="H103" i="2" s="1"/>
  <c r="I103" i="2" s="1"/>
  <c r="H102" i="2" a="1"/>
  <c r="H102" i="2" s="1"/>
  <c r="I102" i="2" s="1"/>
  <c r="H101" i="2" a="1"/>
  <c r="H101" i="2" s="1"/>
  <c r="I101" i="2" s="1"/>
  <c r="H100" i="2" a="1"/>
  <c r="H100" i="2" s="1"/>
  <c r="I100" i="2" s="1"/>
  <c r="H99" i="2" a="1"/>
  <c r="H99" i="2" s="1"/>
  <c r="I99" i="2" s="1"/>
  <c r="H98" i="2" a="1"/>
  <c r="H98" i="2" s="1"/>
  <c r="I98" i="2" s="1"/>
  <c r="H97" i="2" a="1"/>
  <c r="H97" i="2" s="1"/>
  <c r="I97" i="2" s="1"/>
  <c r="H96" i="2" a="1"/>
  <c r="H96" i="2" s="1"/>
  <c r="I96" i="2" s="1"/>
  <c r="H95" i="2" a="1"/>
  <c r="H95" i="2" s="1"/>
  <c r="I95" i="2" s="1"/>
  <c r="H94" i="2" a="1"/>
  <c r="H94" i="2" s="1"/>
  <c r="I94" i="2" s="1"/>
  <c r="H93" i="2" a="1"/>
  <c r="H93" i="2" s="1"/>
  <c r="I93" i="2" s="1"/>
  <c r="H92" i="2" a="1"/>
  <c r="H92" i="2" s="1"/>
  <c r="I92" i="2" s="1"/>
  <c r="H91" i="2" a="1"/>
  <c r="H91" i="2" s="1"/>
  <c r="I91" i="2" s="1"/>
  <c r="H90" i="2" a="1"/>
  <c r="H90" i="2" s="1"/>
  <c r="I90" i="2" s="1"/>
  <c r="H89" i="2" a="1"/>
  <c r="H89" i="2" s="1"/>
  <c r="I89" i="2" s="1"/>
  <c r="H88" i="2" a="1"/>
  <c r="H88" i="2" s="1"/>
  <c r="I88" i="2" s="1"/>
  <c r="H87" i="2" a="1"/>
  <c r="H87" i="2" s="1"/>
  <c r="I87" i="2" s="1"/>
  <c r="H86" i="2" a="1"/>
  <c r="H86" i="2" s="1"/>
  <c r="I86" i="2" s="1"/>
  <c r="H85" i="2" a="1"/>
  <c r="H85" i="2" s="1"/>
  <c r="I85" i="2" s="1"/>
  <c r="H84" i="2" a="1"/>
  <c r="H84" i="2" s="1"/>
  <c r="I84" i="2" s="1"/>
  <c r="H83" i="2" a="1"/>
  <c r="H83" i="2" s="1"/>
  <c r="I83" i="2" s="1"/>
  <c r="H82" i="2" a="1"/>
  <c r="H82" i="2" s="1"/>
  <c r="I82" i="2" s="1"/>
  <c r="H81" i="2" a="1"/>
  <c r="H81" i="2" s="1"/>
  <c r="H80" i="2" a="1"/>
  <c r="H80" i="2" s="1"/>
  <c r="I80" i="2" s="1"/>
  <c r="H79" i="2" a="1"/>
  <c r="H79" i="2" s="1"/>
  <c r="I79" i="2" s="1"/>
  <c r="H78" i="2" a="1"/>
  <c r="H78" i="2" s="1"/>
  <c r="I78" i="2" s="1"/>
  <c r="H77" i="2" a="1"/>
  <c r="H77" i="2" s="1"/>
  <c r="I77" i="2" s="1"/>
  <c r="H76" i="2" a="1"/>
  <c r="H76" i="2" s="1"/>
  <c r="I76" i="2" s="1"/>
  <c r="H75" i="2" a="1"/>
  <c r="H75" i="2" s="1"/>
  <c r="I75" i="2" s="1"/>
  <c r="H74" i="2" a="1"/>
  <c r="H74" i="2" s="1"/>
  <c r="I74" i="2" s="1"/>
  <c r="H73" i="2" a="1"/>
  <c r="H73" i="2" s="1"/>
  <c r="I73" i="2" s="1"/>
  <c r="H72" i="2" a="1"/>
  <c r="H72" i="2" s="1"/>
  <c r="I72" i="2" s="1"/>
  <c r="H71" i="2" a="1"/>
  <c r="H71" i="2" s="1"/>
  <c r="I71" i="2" s="1"/>
  <c r="H70" i="2" a="1"/>
  <c r="H70" i="2" s="1"/>
  <c r="I70" i="2" s="1"/>
  <c r="H69" i="2" a="1"/>
  <c r="H69" i="2" s="1"/>
  <c r="I69" i="2" s="1"/>
  <c r="H68" i="2" a="1"/>
  <c r="H68" i="2" s="1"/>
  <c r="I68" i="2" s="1"/>
  <c r="H67" i="2" a="1"/>
  <c r="H67" i="2" s="1"/>
  <c r="I67" i="2" s="1"/>
  <c r="H66" i="2" a="1"/>
  <c r="H66" i="2" s="1"/>
  <c r="I66" i="2" s="1"/>
  <c r="H65" i="2" a="1"/>
  <c r="H65" i="2" s="1"/>
  <c r="I65" i="2" s="1"/>
  <c r="H64" i="2" a="1"/>
  <c r="H64" i="2" s="1"/>
  <c r="I64" i="2" s="1"/>
  <c r="H63" i="2" a="1"/>
  <c r="H63" i="2" s="1"/>
  <c r="I63" i="2" s="1"/>
  <c r="H62" i="2" a="1"/>
  <c r="H62" i="2" s="1"/>
  <c r="I62" i="2" s="1"/>
  <c r="H61" i="2" a="1"/>
  <c r="H61" i="2" s="1"/>
  <c r="I61" i="2" s="1"/>
  <c r="H60" i="2" a="1"/>
  <c r="H60" i="2" s="1"/>
  <c r="I60" i="2" s="1"/>
  <c r="H59" i="2" a="1"/>
  <c r="H59" i="2" s="1"/>
  <c r="I59" i="2" s="1"/>
  <c r="H58" i="2" a="1"/>
  <c r="H58" i="2" s="1"/>
  <c r="I58" i="2" s="1"/>
  <c r="H57" i="2" a="1"/>
  <c r="H57" i="2" s="1"/>
  <c r="I57" i="2" s="1"/>
  <c r="H56" i="2" a="1"/>
  <c r="H56" i="2" s="1"/>
  <c r="I56" i="2" s="1"/>
  <c r="H55" i="2" a="1"/>
  <c r="H55" i="2" s="1"/>
  <c r="I55" i="2" s="1"/>
  <c r="H54" i="2" a="1"/>
  <c r="H54" i="2" s="1"/>
  <c r="I54" i="2" s="1"/>
  <c r="H53" i="2" a="1"/>
  <c r="H53" i="2" s="1"/>
  <c r="I53" i="2" s="1"/>
  <c r="H52" i="2" a="1"/>
  <c r="H52" i="2" s="1"/>
  <c r="I52" i="2" s="1"/>
  <c r="H51" i="2" a="1"/>
  <c r="H51" i="2" s="1"/>
  <c r="I51" i="2" s="1"/>
  <c r="H50" i="2" a="1"/>
  <c r="H50" i="2" s="1"/>
  <c r="I50" i="2" s="1"/>
  <c r="H49" i="2" a="1"/>
  <c r="H49" i="2" s="1"/>
  <c r="I49" i="2" s="1"/>
  <c r="H48" i="2" a="1"/>
  <c r="H48" i="2" s="1"/>
  <c r="I48" i="2" s="1"/>
  <c r="H47" i="2" a="1"/>
  <c r="H47" i="2" s="1"/>
  <c r="I47" i="2" s="1"/>
  <c r="H46" i="2" a="1"/>
  <c r="H46" i="2" s="1"/>
  <c r="I46" i="2" s="1"/>
  <c r="H45" i="2" a="1"/>
  <c r="H45" i="2" s="1"/>
  <c r="I45" i="2" s="1"/>
  <c r="H44" i="2" a="1"/>
  <c r="H44" i="2" s="1"/>
  <c r="I44" i="2" s="1"/>
  <c r="H43" i="2" a="1"/>
  <c r="H43" i="2" s="1"/>
  <c r="I43" i="2" s="1"/>
  <c r="H42" i="2" a="1"/>
  <c r="H42" i="2" s="1"/>
  <c r="I42" i="2" s="1"/>
  <c r="H41" i="2" a="1"/>
  <c r="H41" i="2" s="1"/>
  <c r="I41" i="2" s="1"/>
  <c r="H40" i="2" a="1"/>
  <c r="H40" i="2" s="1"/>
  <c r="I40" i="2" s="1"/>
  <c r="H39" i="2" a="1"/>
  <c r="H39" i="2" s="1"/>
  <c r="I39" i="2" s="1"/>
  <c r="H38" i="2" a="1"/>
  <c r="H38" i="2" s="1"/>
  <c r="I38" i="2" s="1"/>
  <c r="H37" i="2" a="1"/>
  <c r="H37" i="2" s="1"/>
  <c r="I37" i="2" s="1"/>
  <c r="H36" i="2" a="1"/>
  <c r="H36" i="2" s="1"/>
  <c r="I36" i="2" s="1"/>
  <c r="H35" i="2" a="1"/>
  <c r="H35" i="2" s="1"/>
  <c r="I35" i="2" s="1"/>
  <c r="H34" i="2" a="1"/>
  <c r="H34" i="2" s="1"/>
  <c r="I34" i="2" s="1"/>
  <c r="H33" i="2" a="1"/>
  <c r="H33" i="2" s="1"/>
  <c r="I33" i="2" s="1"/>
  <c r="H32" i="2" a="1"/>
  <c r="H32" i="2" s="1"/>
  <c r="I32" i="2" s="1"/>
  <c r="H31" i="2" a="1"/>
  <c r="H31" i="2" s="1"/>
  <c r="I31" i="2" s="1"/>
  <c r="H30" i="2" a="1"/>
  <c r="H30" i="2" s="1"/>
  <c r="I30" i="2" s="1"/>
  <c r="H29" i="2" a="1"/>
  <c r="H29" i="2" s="1"/>
  <c r="I29" i="2" s="1"/>
  <c r="H28" i="2" a="1"/>
  <c r="H28" i="2" s="1"/>
  <c r="I28" i="2" s="1"/>
  <c r="H27" i="2" a="1"/>
  <c r="H27" i="2" s="1"/>
  <c r="I27" i="2" s="1"/>
  <c r="H26" i="2" a="1"/>
  <c r="H26" i="2" s="1"/>
  <c r="I26" i="2" s="1"/>
  <c r="H25" i="2" a="1"/>
  <c r="H25" i="2" s="1"/>
  <c r="I25" i="2" s="1"/>
  <c r="H24" i="2" a="1"/>
  <c r="H24" i="2" s="1"/>
  <c r="I24" i="2" s="1"/>
  <c r="H23" i="2" a="1"/>
  <c r="H23" i="2" s="1"/>
  <c r="I23" i="2" s="1"/>
  <c r="H22" i="2" a="1"/>
  <c r="H22" i="2" s="1"/>
  <c r="I22" i="2" s="1"/>
  <c r="H21" i="2" a="1"/>
  <c r="H21" i="2" s="1"/>
  <c r="I21" i="2" s="1"/>
  <c r="H20" i="2" a="1"/>
  <c r="H20" i="2" s="1"/>
  <c r="I20" i="2" s="1"/>
  <c r="H19" i="2" a="1"/>
  <c r="H19" i="2" s="1"/>
  <c r="I19" i="2" s="1"/>
  <c r="H18" i="2" a="1"/>
  <c r="H18" i="2" s="1"/>
  <c r="I18" i="2" s="1"/>
  <c r="H17" i="2" a="1"/>
  <c r="H17" i="2" s="1"/>
  <c r="I17" i="2" s="1"/>
  <c r="H16" i="2" a="1"/>
  <c r="H16" i="2" s="1"/>
  <c r="I16" i="2" s="1"/>
  <c r="H15" i="2" a="1"/>
  <c r="H15" i="2" s="1"/>
  <c r="I15" i="2" s="1"/>
  <c r="H14" i="2" a="1"/>
  <c r="H14" i="2" s="1"/>
  <c r="I14" i="2" s="1"/>
  <c r="H13" i="2" a="1"/>
  <c r="H13" i="2" s="1"/>
  <c r="I13" i="2" s="1"/>
  <c r="H12" i="2" a="1"/>
  <c r="H12" i="2" s="1"/>
  <c r="I12" i="2" s="1"/>
  <c r="H11" i="2" a="1"/>
  <c r="H11" i="2" s="1"/>
  <c r="I11" i="2" s="1"/>
  <c r="H10" i="2" a="1"/>
  <c r="H10" i="2" s="1"/>
  <c r="I10" i="2" s="1"/>
  <c r="H9" i="2" a="1"/>
  <c r="H9" i="2" s="1"/>
  <c r="I9" i="2" s="1"/>
  <c r="H8" i="2" a="1"/>
  <c r="H8" i="2" s="1"/>
  <c r="I8" i="2" s="1"/>
  <c r="I110" i="2"/>
  <c r="I129" i="2"/>
  <c r="I134" i="2"/>
  <c r="I150" i="2"/>
  <c r="I166" i="2"/>
  <c r="I173" i="2"/>
  <c r="I198" i="2"/>
  <c r="I212" i="2"/>
  <c r="I214" i="2"/>
  <c r="I230" i="2"/>
  <c r="I237" i="2"/>
  <c r="I241" i="2"/>
  <c r="I244" i="2"/>
  <c r="I257" i="2"/>
  <c r="I261" i="2"/>
  <c r="I262" i="2"/>
  <c r="I273" i="2"/>
  <c r="I286" i="2"/>
  <c r="I294" i="2"/>
  <c r="I302" i="2"/>
  <c r="I308" i="2"/>
  <c r="I310" i="2"/>
  <c r="I318" i="2"/>
  <c r="I325" i="2"/>
  <c r="I333" i="2"/>
  <c r="I337" i="2"/>
  <c r="I340" i="2"/>
  <c r="I342" i="2"/>
  <c r="I350" i="2"/>
  <c r="I353" i="2"/>
  <c r="I356" i="2"/>
  <c r="I358" i="2"/>
  <c r="I364" i="2"/>
  <c r="I366" i="2"/>
  <c r="I369" i="2"/>
  <c r="I370" i="2"/>
  <c r="I372" i="2"/>
  <c r="I374" i="2"/>
  <c r="I123" i="2"/>
  <c r="I181" i="2"/>
  <c r="I190" i="2"/>
  <c r="I197" i="2"/>
  <c r="I229" i="2"/>
  <c r="I243" i="2"/>
  <c r="I251" i="2"/>
  <c r="I253" i="2"/>
  <c r="I269" i="2"/>
  <c r="I276" i="2"/>
  <c r="I283" i="2"/>
  <c r="M4" i="5"/>
  <c r="N4" i="5"/>
  <c r="L8" i="2" a="1"/>
  <c r="L8" i="2" s="1"/>
  <c r="W23" i="5"/>
  <c r="X23" i="5"/>
  <c r="Y23" i="5"/>
  <c r="W24" i="5"/>
  <c r="X24" i="5"/>
  <c r="Y24" i="5"/>
  <c r="W25" i="5"/>
  <c r="X25" i="5"/>
  <c r="Y25" i="5"/>
  <c r="W26" i="5"/>
  <c r="X26" i="5"/>
  <c r="Y26" i="5"/>
  <c r="W27" i="5"/>
  <c r="X27" i="5"/>
  <c r="Y27" i="5"/>
  <c r="W28" i="5"/>
  <c r="X28" i="5"/>
  <c r="Y28" i="5"/>
  <c r="W29" i="5"/>
  <c r="X29" i="5"/>
  <c r="Y29" i="5"/>
  <c r="W30" i="5"/>
  <c r="X30" i="5"/>
  <c r="Y30" i="5"/>
  <c r="W31" i="5"/>
  <c r="X31" i="5"/>
  <c r="Y31" i="5"/>
  <c r="W32" i="5"/>
  <c r="X32" i="5"/>
  <c r="Y32" i="5"/>
  <c r="W33" i="5"/>
  <c r="X33" i="5"/>
  <c r="Y33" i="5"/>
  <c r="W34" i="5"/>
  <c r="X34" i="5"/>
  <c r="Y34" i="5"/>
  <c r="W35" i="5"/>
  <c r="X35" i="5"/>
  <c r="Y35" i="5"/>
  <c r="Y22" i="5"/>
  <c r="X22" i="5"/>
  <c r="W22" i="5"/>
  <c r="Y21" i="5"/>
  <c r="X21" i="5"/>
  <c r="W21" i="5"/>
  <c r="Y20" i="5"/>
  <c r="X20" i="5"/>
  <c r="W20" i="5"/>
  <c r="Y19" i="5"/>
  <c r="X19" i="5"/>
  <c r="W19" i="5"/>
  <c r="Y18" i="5"/>
  <c r="X18" i="5"/>
  <c r="W18" i="5"/>
  <c r="Y17" i="5"/>
  <c r="X17" i="5"/>
  <c r="W17" i="5"/>
  <c r="Y16" i="5"/>
  <c r="X16" i="5"/>
  <c r="W16" i="5"/>
  <c r="Y15" i="5"/>
  <c r="X15" i="5"/>
  <c r="W15" i="5"/>
  <c r="Y14" i="5"/>
  <c r="X14" i="5"/>
  <c r="W14" i="5"/>
  <c r="Y13" i="5"/>
  <c r="X13" i="5"/>
  <c r="W13" i="5"/>
  <c r="Y12" i="5"/>
  <c r="X12" i="5"/>
  <c r="W12" i="5"/>
  <c r="Y11" i="5"/>
  <c r="X11" i="5"/>
  <c r="W11" i="5"/>
  <c r="Y10" i="5"/>
  <c r="X10" i="5"/>
  <c r="W10" i="5"/>
  <c r="Y9" i="5"/>
  <c r="X9" i="5"/>
  <c r="W9" i="5"/>
  <c r="Y8" i="5"/>
  <c r="X8" i="5"/>
  <c r="W8" i="5"/>
  <c r="Y7" i="5"/>
  <c r="X7" i="5"/>
  <c r="W7" i="5"/>
  <c r="Y6" i="5"/>
  <c r="X6" i="5"/>
  <c r="W6" i="5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8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I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I158" i="2"/>
  <c r="K157" i="2"/>
  <c r="I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I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I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L7" i="2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N3" i="5"/>
  <c r="M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<sst xmlns="http://schemas.openxmlformats.org/spreadsheetml/2006/main" count="2159" uniqueCount="731">
  <si>
    <t>거래내역조회</t>
  </si>
  <si>
    <t>계좌번호</t>
  </si>
  <si>
    <t>조회기간</t>
  </si>
  <si>
    <t>2022.01.01 ~ 2022.05.31</t>
  </si>
  <si>
    <t>총건수</t>
  </si>
  <si>
    <t>거래일자</t>
  </si>
  <si>
    <t>거래시간</t>
  </si>
  <si>
    <t>적요</t>
  </si>
  <si>
    <t>내용</t>
  </si>
  <si>
    <t>14:39:28</t>
  </si>
  <si>
    <t>07:01:36</t>
  </si>
  <si>
    <t>01:14:15</t>
  </si>
  <si>
    <t>01:05:48</t>
  </si>
  <si>
    <t>쿠팡</t>
  </si>
  <si>
    <t>00:08:35</t>
  </si>
  <si>
    <t>16:34:39</t>
  </si>
  <si>
    <t>19:03:37</t>
  </si>
  <si>
    <t>14:19:36</t>
  </si>
  <si>
    <t>07:02:04</t>
  </si>
  <si>
    <t>통신</t>
  </si>
  <si>
    <t>21:38:20</t>
  </si>
  <si>
    <t>19:23:21</t>
  </si>
  <si>
    <t>18:56:18</t>
  </si>
  <si>
    <t>18:36:29</t>
  </si>
  <si>
    <t>18:35:45</t>
  </si>
  <si>
    <t>18:26:51</t>
  </si>
  <si>
    <t>15:06:47</t>
  </si>
  <si>
    <t>15:00:43</t>
  </si>
  <si>
    <t>육쌈냉면</t>
  </si>
  <si>
    <t>21:03:14</t>
  </si>
  <si>
    <t>02:43:49</t>
  </si>
  <si>
    <t>유튜브멤버십</t>
  </si>
  <si>
    <t>20:33:34</t>
  </si>
  <si>
    <t>20:11:59</t>
  </si>
  <si>
    <t>18:28:45</t>
  </si>
  <si>
    <t>풀무원</t>
  </si>
  <si>
    <t>16:39:12</t>
  </si>
  <si>
    <t>19:20:17</t>
  </si>
  <si>
    <t>16:04:33</t>
  </si>
  <si>
    <t>10:04:21</t>
  </si>
  <si>
    <t>09:16:59</t>
  </si>
  <si>
    <t>22:59:38</t>
  </si>
  <si>
    <t>22:50:40</t>
  </si>
  <si>
    <t>17:59:20</t>
  </si>
  <si>
    <t>18:09:12</t>
  </si>
  <si>
    <t>13:19:38</t>
  </si>
  <si>
    <t>17:16:34</t>
  </si>
  <si>
    <t>13:38:14</t>
  </si>
  <si>
    <t>투썸플레이스</t>
  </si>
  <si>
    <t>13:31:11</t>
  </si>
  <si>
    <t>21:07:53</t>
  </si>
  <si>
    <t>18:30:06</t>
  </si>
  <si>
    <t>22:16:05</t>
  </si>
  <si>
    <t>23:36:21</t>
  </si>
  <si>
    <t>23:12:54</t>
  </si>
  <si>
    <t>15:14:56</t>
  </si>
  <si>
    <t>15:09:39</t>
  </si>
  <si>
    <t>10:57:10</t>
  </si>
  <si>
    <t>04:12:44</t>
  </si>
  <si>
    <t>02:17:54</t>
  </si>
  <si>
    <t>21:52:56</t>
  </si>
  <si>
    <t>16:38:19</t>
  </si>
  <si>
    <t>12:27:55</t>
  </si>
  <si>
    <t>11:34:17</t>
  </si>
  <si>
    <t>09:03:24</t>
  </si>
  <si>
    <t>23:39:07</t>
  </si>
  <si>
    <t>00:33:47</t>
  </si>
  <si>
    <t>22:11:20</t>
  </si>
  <si>
    <t>22:10:42</t>
  </si>
  <si>
    <t>19:41:23</t>
  </si>
  <si>
    <t>복자수산</t>
  </si>
  <si>
    <t>07:24:45</t>
  </si>
  <si>
    <t>19:38:47</t>
  </si>
  <si>
    <t>19:19:53</t>
  </si>
  <si>
    <t>17:16:42</t>
  </si>
  <si>
    <t>인터넷</t>
  </si>
  <si>
    <t>범용인증수수료</t>
  </si>
  <si>
    <t>17:12:18</t>
  </si>
  <si>
    <t>15:25:39</t>
  </si>
  <si>
    <t>15:04:56</t>
  </si>
  <si>
    <t>12:25:35</t>
  </si>
  <si>
    <t>00:22:22</t>
  </si>
  <si>
    <t>20:32:40</t>
  </si>
  <si>
    <t>20:20:49</t>
  </si>
  <si>
    <t>18:05:25</t>
  </si>
  <si>
    <t>16:58:28</t>
  </si>
  <si>
    <t>21:16:52</t>
  </si>
  <si>
    <t>20:41:04</t>
  </si>
  <si>
    <t>ZARA</t>
  </si>
  <si>
    <t>14:24:34</t>
  </si>
  <si>
    <t>07:01:52</t>
  </si>
  <si>
    <t>21:37:47</t>
  </si>
  <si>
    <t>19:15:54</t>
  </si>
  <si>
    <t>등촌칼국수</t>
  </si>
  <si>
    <t>17:59:22</t>
  </si>
  <si>
    <t>15:08:04</t>
  </si>
  <si>
    <t>19:21:20</t>
  </si>
  <si>
    <t>18:55:47</t>
  </si>
  <si>
    <t>16:45:20</t>
  </si>
  <si>
    <t>15:46:27</t>
  </si>
  <si>
    <t>14:57:23</t>
  </si>
  <si>
    <t>21:51:26</t>
  </si>
  <si>
    <t>16:41:41</t>
  </si>
  <si>
    <t>21:16:29</t>
  </si>
  <si>
    <t>18:22:00</t>
  </si>
  <si>
    <t>12:10:58</t>
  </si>
  <si>
    <t>09:20:22</t>
  </si>
  <si>
    <t>09:19:15</t>
  </si>
  <si>
    <t>09:09:31</t>
  </si>
  <si>
    <t>07:01:41</t>
  </si>
  <si>
    <t>23:34:16</t>
  </si>
  <si>
    <t>23:24:56</t>
  </si>
  <si>
    <t>19:27:38</t>
  </si>
  <si>
    <t>18:52:21</t>
  </si>
  <si>
    <t>12:46:57</t>
  </si>
  <si>
    <t>09:01:40</t>
  </si>
  <si>
    <t>21:10:48</t>
  </si>
  <si>
    <t>21:01:59</t>
  </si>
  <si>
    <t>19:11:02</t>
  </si>
  <si>
    <t>15:44:05</t>
  </si>
  <si>
    <t>15:01:37</t>
  </si>
  <si>
    <t>10:57:31</t>
  </si>
  <si>
    <t>23:55:16</t>
  </si>
  <si>
    <t>18:04:09</t>
  </si>
  <si>
    <t>10:03:59</t>
  </si>
  <si>
    <t>09:17:11</t>
  </si>
  <si>
    <t>23:33:23</t>
  </si>
  <si>
    <t>본가설렁탕</t>
  </si>
  <si>
    <t>22:24:29</t>
  </si>
  <si>
    <t>22:17:57</t>
  </si>
  <si>
    <t>15:26:26</t>
  </si>
  <si>
    <t>11:31:57</t>
  </si>
  <si>
    <t>18:11:41</t>
  </si>
  <si>
    <t>18:30:45</t>
  </si>
  <si>
    <t>05:55:21</t>
  </si>
  <si>
    <t>17:26:57</t>
  </si>
  <si>
    <t>16:33:42</t>
  </si>
  <si>
    <t>16:19:48</t>
  </si>
  <si>
    <t>00:09:19</t>
  </si>
  <si>
    <t>17:30:32</t>
  </si>
  <si>
    <t>17:30:16</t>
  </si>
  <si>
    <t>15:52:12</t>
  </si>
  <si>
    <t>18:43:33</t>
  </si>
  <si>
    <t>16:33:55</t>
  </si>
  <si>
    <t>15:18:32</t>
  </si>
  <si>
    <t>14:11:56</t>
  </si>
  <si>
    <t>12:53:08</t>
  </si>
  <si>
    <t>17:19:46</t>
  </si>
  <si>
    <t>16:52:29</t>
  </si>
  <si>
    <t>15:06:43</t>
  </si>
  <si>
    <t>17:38:39</t>
  </si>
  <si>
    <t>17:30:39</t>
  </si>
  <si>
    <t>17:48:44</t>
  </si>
  <si>
    <t>17:19:00</t>
  </si>
  <si>
    <t>11:54:05</t>
  </si>
  <si>
    <t>16:08:11</t>
  </si>
  <si>
    <t>15:59:57</t>
  </si>
  <si>
    <t>17:07:50</t>
  </si>
  <si>
    <t>18:06:58</t>
  </si>
  <si>
    <t>19:43:32</t>
  </si>
  <si>
    <t>17:25:47</t>
  </si>
  <si>
    <t>17:23:31</t>
  </si>
  <si>
    <t>16:49:49</t>
  </si>
  <si>
    <t>14:20:16</t>
  </si>
  <si>
    <t>현금IC</t>
  </si>
  <si>
    <t>18:33:42</t>
  </si>
  <si>
    <t>21:36:39</t>
  </si>
  <si>
    <t>21:29:15</t>
  </si>
  <si>
    <t>18:23:59</t>
  </si>
  <si>
    <t>17:20:39</t>
  </si>
  <si>
    <t>09:43:18</t>
  </si>
  <si>
    <t>09:41:00</t>
  </si>
  <si>
    <t>07:02:08</t>
  </si>
  <si>
    <t>01:17:10</t>
  </si>
  <si>
    <t>22:30:11</t>
  </si>
  <si>
    <t>17:35:59</t>
  </si>
  <si>
    <t>16:52:39</t>
  </si>
  <si>
    <t>16:50:07</t>
  </si>
  <si>
    <t>13:34:15</t>
  </si>
  <si>
    <t>16:47:42</t>
  </si>
  <si>
    <t>15:33:18</t>
  </si>
  <si>
    <t>15:05:22</t>
  </si>
  <si>
    <t>07:00:35</t>
  </si>
  <si>
    <t>21:12:42</t>
  </si>
  <si>
    <t>19:28:30</t>
  </si>
  <si>
    <t>19:25:53</t>
  </si>
  <si>
    <t>18:44:02</t>
  </si>
  <si>
    <t>22:41:00</t>
  </si>
  <si>
    <t>22:39:56</t>
  </si>
  <si>
    <t>22:38:33</t>
  </si>
  <si>
    <t>21:52:03</t>
  </si>
  <si>
    <t>19:21:48</t>
  </si>
  <si>
    <t>18:52:42</t>
  </si>
  <si>
    <t>18:43:08</t>
  </si>
  <si>
    <t>12:52:57</t>
  </si>
  <si>
    <t>21:48:43</t>
  </si>
  <si>
    <t>20:36:54</t>
  </si>
  <si>
    <t>15:00:31</t>
  </si>
  <si>
    <t>14:58:57</t>
  </si>
  <si>
    <t>22:47:32</t>
  </si>
  <si>
    <t>18:34:30</t>
  </si>
  <si>
    <t>18:03:40</t>
  </si>
  <si>
    <t>10:07:07</t>
  </si>
  <si>
    <t>09:17:29</t>
  </si>
  <si>
    <t>18:12:06</t>
  </si>
  <si>
    <t>18:36:06</t>
  </si>
  <si>
    <t>18:34:10</t>
  </si>
  <si>
    <t>16:47:38</t>
  </si>
  <si>
    <t>16:56:51</t>
  </si>
  <si>
    <t>16:47:06</t>
  </si>
  <si>
    <t>16:41:30</t>
  </si>
  <si>
    <t>16:05:00</t>
  </si>
  <si>
    <t>15:37:22</t>
  </si>
  <si>
    <t>15:34:28</t>
  </si>
  <si>
    <t>15:24:48</t>
  </si>
  <si>
    <t>15:20:34</t>
  </si>
  <si>
    <t>23:03:39</t>
  </si>
  <si>
    <t>17:10:23</t>
  </si>
  <si>
    <t>15:31:47</t>
  </si>
  <si>
    <t>15:29:59</t>
  </si>
  <si>
    <t>15:26:01</t>
  </si>
  <si>
    <t>15:09:43</t>
  </si>
  <si>
    <t>18:01:22</t>
  </si>
  <si>
    <t>12:41:10</t>
  </si>
  <si>
    <t>02:44:59</t>
  </si>
  <si>
    <t>18:32:21</t>
  </si>
  <si>
    <t>18:07:34</t>
  </si>
  <si>
    <t>17:57:19</t>
  </si>
  <si>
    <t>14:41:24</t>
  </si>
  <si>
    <t>13:44:56</t>
  </si>
  <si>
    <t>17:38:27</t>
  </si>
  <si>
    <t>16:27:37</t>
  </si>
  <si>
    <t>15:04:09</t>
  </si>
  <si>
    <t>00:01:29</t>
  </si>
  <si>
    <t>14:43:18</t>
  </si>
  <si>
    <t>14:24:18</t>
  </si>
  <si>
    <t>13:56:06</t>
  </si>
  <si>
    <t>08:24:46</t>
  </si>
  <si>
    <t>22:37:54</t>
  </si>
  <si>
    <t>14:39:45</t>
  </si>
  <si>
    <t>17:55:38</t>
  </si>
  <si>
    <t>18:08:07</t>
  </si>
  <si>
    <t>12:35:32</t>
  </si>
  <si>
    <t>11:50:50</t>
  </si>
  <si>
    <t>01:30:36</t>
  </si>
  <si>
    <t>22:18:44</t>
  </si>
  <si>
    <t>15:19:12</t>
  </si>
  <si>
    <t>15:13:57</t>
  </si>
  <si>
    <t>20:55:59</t>
  </si>
  <si>
    <t>19:26:33</t>
  </si>
  <si>
    <t>13:53:06</t>
  </si>
  <si>
    <t>13:28:30</t>
  </si>
  <si>
    <t>10:00:09</t>
  </si>
  <si>
    <t>22:08:52</t>
  </si>
  <si>
    <t>07:22:32</t>
  </si>
  <si>
    <t>07:19:36</t>
  </si>
  <si>
    <t>19:55:54</t>
  </si>
  <si>
    <t>17:13:08</t>
  </si>
  <si>
    <t>01:20:08</t>
  </si>
  <si>
    <t>23:44:01</t>
  </si>
  <si>
    <t>23:39:17</t>
  </si>
  <si>
    <t>21:53:52</t>
  </si>
  <si>
    <t>21:36:54</t>
  </si>
  <si>
    <t>19:34:44</t>
  </si>
  <si>
    <t>18:50:28</t>
  </si>
  <si>
    <t>15:49:04</t>
  </si>
  <si>
    <t>20:38:10</t>
  </si>
  <si>
    <t>11번가</t>
  </si>
  <si>
    <t>16:34:04</t>
  </si>
  <si>
    <t>16:22:00</t>
  </si>
  <si>
    <t>16:22:25</t>
  </si>
  <si>
    <t>15:57:33</t>
  </si>
  <si>
    <t>21:15:01</t>
  </si>
  <si>
    <t>15:12:17</t>
  </si>
  <si>
    <t>22:48:56</t>
  </si>
  <si>
    <t>22:43:22</t>
  </si>
  <si>
    <t>18:03:45</t>
  </si>
  <si>
    <t>15:12:24</t>
  </si>
  <si>
    <t>12:08:47</t>
  </si>
  <si>
    <t>11:39:09</t>
  </si>
  <si>
    <t>10:04:43</t>
  </si>
  <si>
    <t>09:18:07</t>
  </si>
  <si>
    <t>09:09:34</t>
  </si>
  <si>
    <t>23:39:50</t>
  </si>
  <si>
    <t>17:17:35</t>
  </si>
  <si>
    <t>17:10:54</t>
  </si>
  <si>
    <t>20:32:27</t>
  </si>
  <si>
    <t>00:18:46</t>
  </si>
  <si>
    <t>16:52:08</t>
  </si>
  <si>
    <t>00:06:28</t>
  </si>
  <si>
    <t>21:39:48</t>
  </si>
  <si>
    <t>14:41:36</t>
  </si>
  <si>
    <t>15:46:52</t>
  </si>
  <si>
    <t>15:08:35</t>
  </si>
  <si>
    <t>15:01:34</t>
  </si>
  <si>
    <t>12:59:21</t>
  </si>
  <si>
    <t>12:25:45</t>
  </si>
  <si>
    <t>16:20:06</t>
  </si>
  <si>
    <t>23:54:37</t>
  </si>
  <si>
    <t>23:35:02</t>
  </si>
  <si>
    <t>20:48:42</t>
  </si>
  <si>
    <t>18:57:36</t>
  </si>
  <si>
    <t>19:20:47</t>
  </si>
  <si>
    <t>18:34:59</t>
  </si>
  <si>
    <t>가스파스</t>
  </si>
  <si>
    <t>13:56:57</t>
  </si>
  <si>
    <t>01:52:03</t>
  </si>
  <si>
    <t>22:37:48</t>
  </si>
  <si>
    <t>22:19:25</t>
  </si>
  <si>
    <t>15:47:32</t>
  </si>
  <si>
    <t>15:08:50</t>
  </si>
  <si>
    <t>인터넷상거래</t>
  </si>
  <si>
    <t>14:59:17</t>
  </si>
  <si>
    <t>22:00:47</t>
  </si>
  <si>
    <t>19:18:32</t>
  </si>
  <si>
    <t>17:59:06</t>
  </si>
  <si>
    <t>17:29:27</t>
  </si>
  <si>
    <t>16:19:17</t>
  </si>
  <si>
    <t>11:52:02</t>
  </si>
  <si>
    <t>08:24:45</t>
  </si>
  <si>
    <t>08:04:52</t>
  </si>
  <si>
    <t>20:08:53</t>
  </si>
  <si>
    <t>19:00:56</t>
  </si>
  <si>
    <t>18:13:21</t>
  </si>
  <si>
    <t>14:56:12</t>
  </si>
  <si>
    <t>14:53:16</t>
  </si>
  <si>
    <t>13:34:13</t>
  </si>
  <si>
    <t>08:27:50</t>
  </si>
  <si>
    <t>21:20:34</t>
  </si>
  <si>
    <t>19:10:27</t>
  </si>
  <si>
    <t>16:41:51</t>
  </si>
  <si>
    <t>12:01:04</t>
  </si>
  <si>
    <t>01:48:24</t>
  </si>
  <si>
    <t>00:34:05</t>
  </si>
  <si>
    <t>23:16:15</t>
  </si>
  <si>
    <t>19:26:01</t>
  </si>
  <si>
    <t>18:55:27</t>
  </si>
  <si>
    <t>16:28:32</t>
  </si>
  <si>
    <t>22:42:42</t>
  </si>
  <si>
    <t>14:19:00</t>
  </si>
  <si>
    <t>13:52:22</t>
  </si>
  <si>
    <t>07:50:29</t>
  </si>
  <si>
    <t>20:39:43</t>
  </si>
  <si>
    <t>14:29:40</t>
  </si>
  <si>
    <t>07:03:14</t>
  </si>
  <si>
    <t>15:47:10</t>
  </si>
  <si>
    <t>22:46:17</t>
  </si>
  <si>
    <t>15:16:53</t>
  </si>
  <si>
    <t>14:45:21</t>
  </si>
  <si>
    <t>20:41:25</t>
  </si>
  <si>
    <t>20:31:11</t>
  </si>
  <si>
    <t>20:18:14</t>
  </si>
  <si>
    <t>20:09:07</t>
  </si>
  <si>
    <t>17:25:35</t>
  </si>
  <si>
    <t>11:47:10</t>
  </si>
  <si>
    <t>19:44:23</t>
  </si>
  <si>
    <t>13:24:31</t>
  </si>
  <si>
    <t>08:57:45</t>
  </si>
  <si>
    <t>21:48:30</t>
  </si>
  <si>
    <t>15:20:49</t>
  </si>
  <si>
    <t>07:29:54</t>
  </si>
  <si>
    <t>00:36:32</t>
  </si>
  <si>
    <t>20:29:57</t>
  </si>
  <si>
    <t>19:35:57</t>
  </si>
  <si>
    <t>15:03:09</t>
  </si>
  <si>
    <t>14:55:30</t>
  </si>
  <si>
    <t>07:01:48</t>
  </si>
  <si>
    <t>05:14:41</t>
  </si>
  <si>
    <t>04:44:16</t>
  </si>
  <si>
    <t>19:46:42</t>
  </si>
  <si>
    <t>19:45:40</t>
  </si>
  <si>
    <t>19:36:30</t>
  </si>
  <si>
    <t>18:57:01</t>
  </si>
  <si>
    <t>15:33:30</t>
  </si>
  <si>
    <t>15:32:51</t>
  </si>
  <si>
    <t>15:32:02</t>
  </si>
  <si>
    <t>15:05:14</t>
  </si>
  <si>
    <t>14:33:10</t>
  </si>
  <si>
    <t>참사랑약국</t>
  </si>
  <si>
    <t>14:31:38</t>
  </si>
  <si>
    <t>18:08:21</t>
  </si>
  <si>
    <t>03:49:56</t>
  </si>
  <si>
    <t>00:11:15</t>
  </si>
  <si>
    <t>19:22:22</t>
  </si>
  <si>
    <t>23:04:14</t>
  </si>
  <si>
    <t>20:09:05</t>
  </si>
  <si>
    <t>20:02:15</t>
  </si>
  <si>
    <t>10:03:32</t>
  </si>
  <si>
    <t>09:41:09</t>
  </si>
  <si>
    <t>03:02:08</t>
  </si>
  <si>
    <t>19:21:30</t>
  </si>
  <si>
    <t>12:32:41</t>
  </si>
  <si>
    <t>14:22:42</t>
  </si>
  <si>
    <t>20:12:08</t>
  </si>
  <si>
    <t>16:22:39</t>
  </si>
  <si>
    <t>15:50:34</t>
  </si>
  <si>
    <t>19:02:08</t>
  </si>
  <si>
    <t>16:40:11</t>
  </si>
  <si>
    <t>16:33:48</t>
  </si>
  <si>
    <t>15:32:56</t>
  </si>
  <si>
    <t>15:27:37</t>
  </si>
  <si>
    <t>19:56:29</t>
  </si>
  <si>
    <t>18:05:28</t>
  </si>
  <si>
    <t>23:59:21</t>
  </si>
  <si>
    <t>19:59:35</t>
  </si>
  <si>
    <t>03:03:28</t>
  </si>
  <si>
    <t>00:46:51</t>
  </si>
  <si>
    <t>22:59:24</t>
  </si>
  <si>
    <t>16:04:32</t>
  </si>
  <si>
    <t>20:54:32</t>
  </si>
  <si>
    <t>17:51:16</t>
  </si>
  <si>
    <t>17:49:37</t>
  </si>
  <si>
    <t>17:41:12</t>
  </si>
  <si>
    <t>17:41:11</t>
  </si>
  <si>
    <t>22:46:51</t>
  </si>
  <si>
    <t>19:43:57</t>
  </si>
  <si>
    <t>18:13:27</t>
  </si>
  <si>
    <t>09:26:29</t>
  </si>
  <si>
    <t>18:06:47</t>
  </si>
  <si>
    <t>21:45:48</t>
  </si>
  <si>
    <t>18:18:36</t>
  </si>
  <si>
    <t>15:07:12</t>
  </si>
  <si>
    <t>22:26:54</t>
  </si>
  <si>
    <t>23:45:17</t>
  </si>
  <si>
    <t>23:33:01</t>
  </si>
  <si>
    <t>19:36:15</t>
  </si>
  <si>
    <t>15:45:22</t>
  </si>
  <si>
    <t>02:51:35</t>
  </si>
  <si>
    <t>21:32:24</t>
  </si>
  <si>
    <t>20:45:15</t>
  </si>
  <si>
    <t>09:58:05</t>
  </si>
  <si>
    <t>19:37:15</t>
  </si>
  <si>
    <t>18:09:47</t>
  </si>
  <si>
    <t>18:49:40</t>
  </si>
  <si>
    <t>20:29:40</t>
  </si>
  <si>
    <t>16:20:10</t>
  </si>
  <si>
    <t>16:03:45</t>
  </si>
  <si>
    <t>00:35:20</t>
  </si>
  <si>
    <t>커피</t>
    <phoneticPr fontId="1" type="noConversion"/>
  </si>
  <si>
    <t>통신비</t>
    <phoneticPr fontId="1" type="noConversion"/>
  </si>
  <si>
    <t>기부금</t>
    <phoneticPr fontId="1" type="noConversion"/>
  </si>
  <si>
    <t>식비</t>
    <phoneticPr fontId="1" type="noConversion"/>
  </si>
  <si>
    <t>생활비</t>
    <phoneticPr fontId="1" type="noConversion"/>
  </si>
  <si>
    <t>교통비</t>
    <phoneticPr fontId="1" type="noConversion"/>
  </si>
  <si>
    <t>관리비</t>
    <phoneticPr fontId="1" type="noConversion"/>
  </si>
  <si>
    <t>월세</t>
    <phoneticPr fontId="1" type="noConversion"/>
  </si>
  <si>
    <t>의료비</t>
    <phoneticPr fontId="1" type="noConversion"/>
  </si>
  <si>
    <t>사무실비</t>
    <phoneticPr fontId="1" type="noConversion"/>
  </si>
  <si>
    <t>왕돈까쓰&amp;왕냉면</t>
  </si>
  <si>
    <t>왕돈까쓰&amp;왕냉면</t>
    <phoneticPr fontId="1" type="noConversion"/>
  </si>
  <si>
    <t>우체국</t>
  </si>
  <si>
    <t>다이소</t>
  </si>
  <si>
    <t>카카오(기프티콘)</t>
  </si>
  <si>
    <t>카페24</t>
  </si>
  <si>
    <t>카페24</t>
    <phoneticPr fontId="1" type="noConversion"/>
  </si>
  <si>
    <t>맥도날드</t>
  </si>
  <si>
    <t>파리바게뜨</t>
  </si>
  <si>
    <t>파리바게뜨</t>
    <phoneticPr fontId="1" type="noConversion"/>
  </si>
  <si>
    <t>체크카드-교통</t>
  </si>
  <si>
    <t>요기요멤버십</t>
  </si>
  <si>
    <t>모바일결제</t>
  </si>
  <si>
    <t>인터넷</t>
    <phoneticPr fontId="1" type="noConversion"/>
  </si>
  <si>
    <t>보험</t>
  </si>
  <si>
    <t>우리 약국</t>
  </si>
  <si>
    <t>롯데리아</t>
  </si>
  <si>
    <t>롯데리아</t>
    <phoneticPr fontId="1" type="noConversion"/>
  </si>
  <si>
    <t>본가</t>
  </si>
  <si>
    <t>이니스프리</t>
  </si>
  <si>
    <t>티머니</t>
  </si>
  <si>
    <t>효성</t>
  </si>
  <si>
    <t>위워크</t>
  </si>
  <si>
    <t>본죽</t>
  </si>
  <si>
    <t>홍콩반점</t>
  </si>
  <si>
    <t>홍콩반점</t>
    <phoneticPr fontId="1" type="noConversion"/>
  </si>
  <si>
    <t>한마음슈퍼</t>
  </si>
  <si>
    <t>투썸플레이스</t>
    <phoneticPr fontId="1" type="noConversion"/>
  </si>
  <si>
    <t>씨유편의점</t>
  </si>
  <si>
    <t>풀무원</t>
    <phoneticPr fontId="1" type="noConversion"/>
  </si>
  <si>
    <t>제육대가</t>
  </si>
  <si>
    <t>제육대가</t>
    <phoneticPr fontId="1" type="noConversion"/>
  </si>
  <si>
    <t>푸딩마라탕</t>
  </si>
  <si>
    <t>늘배움학원</t>
  </si>
  <si>
    <t>학교앞분식</t>
  </si>
  <si>
    <t>학교앞분식</t>
    <phoneticPr fontId="1" type="noConversion"/>
  </si>
  <si>
    <t>컵밥의고수</t>
  </si>
  <si>
    <t>갓파스시</t>
  </si>
  <si>
    <t>MICROSOFT</t>
  </si>
  <si>
    <t>삼성생명</t>
  </si>
  <si>
    <t>건강보험</t>
  </si>
  <si>
    <t>건강보험</t>
    <phoneticPr fontId="1" type="noConversion"/>
  </si>
  <si>
    <t>국민건강보험</t>
  </si>
  <si>
    <t>기아대책기부금</t>
  </si>
  <si>
    <t>GS25 편의점</t>
  </si>
  <si>
    <t>할리스커피</t>
  </si>
  <si>
    <t>할리스커피</t>
    <phoneticPr fontId="1" type="noConversion"/>
  </si>
  <si>
    <t>이마트</t>
  </si>
  <si>
    <t>이마트24</t>
  </si>
  <si>
    <t>신호칼국수</t>
  </si>
  <si>
    <t>한마음약국</t>
  </si>
  <si>
    <t>달떡볶이</t>
  </si>
  <si>
    <t>달떡볶이</t>
    <phoneticPr fontId="1" type="noConversion"/>
  </si>
  <si>
    <t>고기장인</t>
  </si>
  <si>
    <t>연세의원</t>
  </si>
  <si>
    <t>롤링파스타</t>
  </si>
  <si>
    <t>엔제리너스</t>
  </si>
  <si>
    <t>경조사비</t>
  </si>
  <si>
    <t>경조사비</t>
    <phoneticPr fontId="1" type="noConversion"/>
  </si>
  <si>
    <t>중화반점</t>
  </si>
  <si>
    <t>중화반점</t>
    <phoneticPr fontId="1" type="noConversion"/>
  </si>
  <si>
    <t>내맘의츄러스</t>
  </si>
  <si>
    <t>커먼스테이크</t>
  </si>
  <si>
    <t>도시가스</t>
  </si>
  <si>
    <t>도시가스</t>
    <phoneticPr fontId="1" type="noConversion"/>
  </si>
  <si>
    <t>하오탕우육면</t>
  </si>
  <si>
    <t>스타벅스</t>
  </si>
  <si>
    <t>스타벅스</t>
    <phoneticPr fontId="1" type="noConversion"/>
  </si>
  <si>
    <t>한솥도시락</t>
  </si>
  <si>
    <t>SKT통신비</t>
  </si>
  <si>
    <t>피자헛</t>
  </si>
  <si>
    <t>스크린골프장</t>
  </si>
  <si>
    <t>싱싱해물탕</t>
  </si>
  <si>
    <t>모나크펍</t>
  </si>
  <si>
    <t>배트맨당구장</t>
  </si>
  <si>
    <t>스크린야구</t>
  </si>
  <si>
    <t>자이아파트_관리비</t>
  </si>
  <si>
    <t>자이아파트_관리비</t>
    <phoneticPr fontId="1" type="noConversion"/>
  </si>
  <si>
    <t>자이아파트_월세</t>
    <phoneticPr fontId="1" type="noConversion"/>
  </si>
  <si>
    <t>카드결제</t>
  </si>
  <si>
    <t>오빠두엑셀</t>
    <phoneticPr fontId="1" type="noConversion"/>
  </si>
  <si>
    <t>계좌이체</t>
  </si>
  <si>
    <t>대분류</t>
    <phoneticPr fontId="1" type="noConversion"/>
  </si>
  <si>
    <t>GS25</t>
    <phoneticPr fontId="1" type="noConversion"/>
  </si>
  <si>
    <t>고기</t>
  </si>
  <si>
    <t>SKT</t>
  </si>
  <si>
    <t>스시</t>
  </si>
  <si>
    <t>칼국수</t>
  </si>
  <si>
    <t>파스타</t>
  </si>
  <si>
    <t>수산</t>
  </si>
  <si>
    <t>기아대책</t>
  </si>
  <si>
    <t>학원</t>
  </si>
  <si>
    <t>떡볶이</t>
  </si>
  <si>
    <t>DROPBOX</t>
  </si>
  <si>
    <t>해물탕</t>
  </si>
  <si>
    <t>의원</t>
  </si>
  <si>
    <t>당구장</t>
  </si>
  <si>
    <t>골프장</t>
  </si>
  <si>
    <t>야구</t>
  </si>
  <si>
    <t>씨유</t>
  </si>
  <si>
    <t>냉면</t>
  </si>
  <si>
    <t>약국</t>
  </si>
  <si>
    <t>멤버십</t>
  </si>
  <si>
    <t>스테이크</t>
  </si>
  <si>
    <t>자이아파트</t>
  </si>
  <si>
    <t>제육</t>
  </si>
  <si>
    <t>컵밥</t>
  </si>
  <si>
    <t>교통</t>
  </si>
  <si>
    <t>기프티콘</t>
  </si>
  <si>
    <t>마라탕</t>
  </si>
  <si>
    <t>피자</t>
  </si>
  <si>
    <t>분식</t>
  </si>
  <si>
    <t>슈퍼</t>
  </si>
  <si>
    <t>커피</t>
  </si>
  <si>
    <t>도시락</t>
  </si>
  <si>
    <t>간식</t>
    <phoneticPr fontId="1" type="noConversion"/>
  </si>
  <si>
    <t>주식</t>
    <phoneticPr fontId="1" type="noConversion"/>
  </si>
  <si>
    <t>마트</t>
    <phoneticPr fontId="1" type="noConversion"/>
  </si>
  <si>
    <t>기타식료품</t>
    <phoneticPr fontId="1" type="noConversion"/>
  </si>
  <si>
    <t>모임회비</t>
    <phoneticPr fontId="1" type="noConversion"/>
  </si>
  <si>
    <t>선물</t>
    <phoneticPr fontId="1" type="noConversion"/>
  </si>
  <si>
    <t>축의금</t>
    <phoneticPr fontId="1" type="noConversion"/>
  </si>
  <si>
    <t>기타경조사비</t>
    <phoneticPr fontId="1" type="noConversion"/>
  </si>
  <si>
    <t>생명보험</t>
    <phoneticPr fontId="1" type="noConversion"/>
  </si>
  <si>
    <t>기타보험</t>
    <phoneticPr fontId="1" type="noConversion"/>
  </si>
  <si>
    <t>보험비</t>
    <phoneticPr fontId="1" type="noConversion"/>
  </si>
  <si>
    <t>휴대폰</t>
    <phoneticPr fontId="1" type="noConversion"/>
  </si>
  <si>
    <t>기타통신비</t>
    <phoneticPr fontId="1" type="noConversion"/>
  </si>
  <si>
    <t>통신비</t>
  </si>
  <si>
    <t>교통비</t>
  </si>
  <si>
    <t>학원비</t>
    <phoneticPr fontId="1" type="noConversion"/>
  </si>
  <si>
    <t>기타교육비</t>
    <phoneticPr fontId="1" type="noConversion"/>
  </si>
  <si>
    <t>교육비</t>
    <phoneticPr fontId="1" type="noConversion"/>
  </si>
  <si>
    <t>전자/가전제품</t>
    <phoneticPr fontId="1" type="noConversion"/>
  </si>
  <si>
    <t>미용비</t>
    <phoneticPr fontId="1" type="noConversion"/>
  </si>
  <si>
    <t>생활용품</t>
    <phoneticPr fontId="1" type="noConversion"/>
  </si>
  <si>
    <t>화장품</t>
    <phoneticPr fontId="1" type="noConversion"/>
  </si>
  <si>
    <t>문구잡화</t>
    <phoneticPr fontId="1" type="noConversion"/>
  </si>
  <si>
    <t>기타생활비</t>
    <phoneticPr fontId="1" type="noConversion"/>
  </si>
  <si>
    <t>기타공과금</t>
    <phoneticPr fontId="1" type="noConversion"/>
  </si>
  <si>
    <t>영화/뮤지컬</t>
    <phoneticPr fontId="1" type="noConversion"/>
  </si>
  <si>
    <t>도서</t>
    <phoneticPr fontId="1" type="noConversion"/>
  </si>
  <si>
    <t>스포츠</t>
    <phoneticPr fontId="1" type="noConversion"/>
  </si>
  <si>
    <t>여행</t>
    <phoneticPr fontId="1" type="noConversion"/>
  </si>
  <si>
    <t>기타문화비</t>
    <phoneticPr fontId="1" type="noConversion"/>
  </si>
  <si>
    <t>문화생활비</t>
    <phoneticPr fontId="1" type="noConversion"/>
  </si>
  <si>
    <t>주거/공과금</t>
    <phoneticPr fontId="1" type="noConversion"/>
  </si>
  <si>
    <t>의류구매</t>
    <phoneticPr fontId="1" type="noConversion"/>
  </si>
  <si>
    <t>구독서비스</t>
    <phoneticPr fontId="1" type="noConversion"/>
  </si>
  <si>
    <t>멕시카나치킨</t>
    <phoneticPr fontId="1" type="noConversion"/>
  </si>
  <si>
    <t>임실치즈피자</t>
    <phoneticPr fontId="1" type="noConversion"/>
  </si>
  <si>
    <t>라와마라탕</t>
    <phoneticPr fontId="1" type="noConversion"/>
  </si>
  <si>
    <t>호식이두마리치킨</t>
    <phoneticPr fontId="1" type="noConversion"/>
  </si>
  <si>
    <t>대박감자탕</t>
    <phoneticPr fontId="1" type="noConversion"/>
  </si>
  <si>
    <t>미스터스시</t>
    <phoneticPr fontId="1" type="noConversion"/>
  </si>
  <si>
    <t>핫파스타</t>
    <phoneticPr fontId="1" type="noConversion"/>
  </si>
  <si>
    <t>교촌치킨</t>
    <phoneticPr fontId="1" type="noConversion"/>
  </si>
  <si>
    <t>엔젤리너스</t>
    <phoneticPr fontId="1" type="noConversion"/>
  </si>
  <si>
    <t>청춘닭꼬치</t>
    <phoneticPr fontId="1" type="noConversion"/>
  </si>
  <si>
    <t>이장돈까스</t>
    <phoneticPr fontId="1" type="noConversion"/>
  </si>
  <si>
    <t>대박마라탕</t>
    <phoneticPr fontId="1" type="noConversion"/>
  </si>
  <si>
    <t>웅이네닭발</t>
    <phoneticPr fontId="1" type="noConversion"/>
  </si>
  <si>
    <t>프레도피자</t>
    <phoneticPr fontId="1" type="noConversion"/>
  </si>
  <si>
    <t>고기한상</t>
    <phoneticPr fontId="1" type="noConversion"/>
  </si>
  <si>
    <t>왕국해물찜</t>
    <phoneticPr fontId="1" type="noConversion"/>
  </si>
  <si>
    <t>노랑통닭</t>
    <phoneticPr fontId="1" type="noConversion"/>
  </si>
  <si>
    <t>직화삼겹살</t>
    <phoneticPr fontId="1" type="noConversion"/>
  </si>
  <si>
    <t>취향저격탕수육</t>
    <phoneticPr fontId="1" type="noConversion"/>
  </si>
  <si>
    <t>아웃백딜리버리</t>
    <phoneticPr fontId="1" type="noConversion"/>
  </si>
  <si>
    <t>베트남쌀국수</t>
    <phoneticPr fontId="1" type="noConversion"/>
  </si>
  <si>
    <t>중화마을</t>
    <phoneticPr fontId="1" type="noConversion"/>
  </si>
  <si>
    <t>의료비</t>
  </si>
  <si>
    <t>진료비</t>
    <phoneticPr fontId="1" type="noConversion"/>
  </si>
  <si>
    <t>약</t>
    <phoneticPr fontId="1" type="noConversion"/>
  </si>
  <si>
    <t>급여</t>
    <phoneticPr fontId="1" type="noConversion"/>
  </si>
  <si>
    <t>상여금</t>
    <phoneticPr fontId="1" type="noConversion"/>
  </si>
  <si>
    <t>금융이익</t>
    <phoneticPr fontId="1" type="noConversion"/>
  </si>
  <si>
    <t>특별수당</t>
    <phoneticPr fontId="1" type="noConversion"/>
  </si>
  <si>
    <t>사업운영비</t>
    <phoneticPr fontId="1" type="noConversion"/>
  </si>
  <si>
    <t>업무관련</t>
    <phoneticPr fontId="1" type="noConversion"/>
  </si>
  <si>
    <t>계정과목</t>
    <phoneticPr fontId="1" type="noConversion"/>
  </si>
  <si>
    <t>치킨</t>
    <phoneticPr fontId="1" type="noConversion"/>
  </si>
  <si>
    <t>감자탕</t>
    <phoneticPr fontId="1" type="noConversion"/>
  </si>
  <si>
    <t>건강식품</t>
    <phoneticPr fontId="1" type="noConversion"/>
  </si>
  <si>
    <t>우육면</t>
    <phoneticPr fontId="1" type="noConversion"/>
  </si>
  <si>
    <t>분류</t>
    <phoneticPr fontId="1" type="noConversion"/>
  </si>
  <si>
    <t>포함단어</t>
    <phoneticPr fontId="1" type="noConversion"/>
  </si>
  <si>
    <t>닭발</t>
    <phoneticPr fontId="1" type="noConversion"/>
  </si>
  <si>
    <t>돈까스</t>
    <phoneticPr fontId="1" type="noConversion"/>
  </si>
  <si>
    <t>닭꼬치</t>
    <phoneticPr fontId="1" type="noConversion"/>
  </si>
  <si>
    <t>쌀국수</t>
    <phoneticPr fontId="1" type="noConversion"/>
  </si>
  <si>
    <t>해물찜</t>
    <phoneticPr fontId="1" type="noConversion"/>
  </si>
  <si>
    <t>삼겹살</t>
    <phoneticPr fontId="1" type="noConversion"/>
  </si>
  <si>
    <t>통닭</t>
    <phoneticPr fontId="1" type="noConversion"/>
  </si>
  <si>
    <t>계좌이체</t>
    <phoneticPr fontId="1" type="noConversion"/>
  </si>
  <si>
    <t>주식배당금</t>
    <phoneticPr fontId="1" type="noConversion"/>
  </si>
  <si>
    <t>123-456-789123</t>
    <phoneticPr fontId="1" type="noConversion"/>
  </si>
  <si>
    <t>투자비</t>
  </si>
  <si>
    <t>투자비</t>
    <phoneticPr fontId="1" type="noConversion"/>
  </si>
  <si>
    <t>엑셀특별적금</t>
    <phoneticPr fontId="1" type="noConversion"/>
  </si>
  <si>
    <t>적금만기</t>
    <phoneticPr fontId="1" type="noConversion"/>
  </si>
  <si>
    <t>예적금</t>
    <phoneticPr fontId="1" type="noConversion"/>
  </si>
  <si>
    <t>예금가입</t>
    <phoneticPr fontId="1" type="noConversion"/>
  </si>
  <si>
    <t>시간대</t>
    <phoneticPr fontId="1" type="noConversion"/>
  </si>
  <si>
    <t>행 레이블</t>
  </si>
  <si>
    <t>교육비</t>
  </si>
  <si>
    <t>보험비</t>
  </si>
  <si>
    <t>사업운영비</t>
  </si>
  <si>
    <t>생활비</t>
  </si>
  <si>
    <t>식비</t>
  </si>
  <si>
    <t>주거/공과금</t>
  </si>
  <si>
    <t>총합계</t>
  </si>
  <si>
    <t>5월</t>
  </si>
  <si>
    <t>평균</t>
    <phoneticPr fontId="1" type="noConversion"/>
  </si>
  <si>
    <t>합계</t>
    <phoneticPr fontId="1" type="noConversion"/>
  </si>
  <si>
    <t>2022년</t>
  </si>
  <si>
    <t>년(거래일자)</t>
  </si>
  <si>
    <t>개월(거래일자)</t>
  </si>
  <si>
    <t>상위지출</t>
    <phoneticPr fontId="1" type="noConversion"/>
  </si>
  <si>
    <t>수입</t>
    <phoneticPr fontId="1" type="noConversion"/>
  </si>
  <si>
    <t>거래일</t>
  </si>
  <si>
    <t>거래일</t>
    <phoneticPr fontId="1" type="noConversion"/>
  </si>
  <si>
    <t>날짜</t>
    <phoneticPr fontId="1" type="noConversion"/>
  </si>
  <si>
    <t>내용</t>
    <phoneticPr fontId="1" type="noConversion"/>
  </si>
  <si>
    <t>금액</t>
    <phoneticPr fontId="1" type="noConversion"/>
  </si>
  <si>
    <t>자이아파트_월세</t>
  </si>
  <si>
    <t>엑셀특별적금</t>
  </si>
  <si>
    <t>멕시카나치킨</t>
  </si>
  <si>
    <t>아웃백딜리버리</t>
  </si>
  <si>
    <t>교촌치킨</t>
  </si>
  <si>
    <t>미스터스시</t>
  </si>
  <si>
    <t>엔젤리너스</t>
  </si>
  <si>
    <t>베트남쌀국수</t>
  </si>
  <si>
    <t>중화마을</t>
  </si>
  <si>
    <t>주식배당금</t>
  </si>
  <si>
    <t>오빠두엑셀</t>
  </si>
  <si>
    <t>출금</t>
    <phoneticPr fontId="1" type="noConversion"/>
  </si>
  <si>
    <t>입금</t>
    <phoneticPr fontId="1" type="noConversion"/>
  </si>
  <si>
    <t>잔액</t>
    <phoneticPr fontId="1" type="noConversion"/>
  </si>
  <si>
    <t>합계 : 출금</t>
  </si>
  <si>
    <t>합계 : 입금</t>
  </si>
  <si>
    <t>문화생활비</t>
  </si>
  <si>
    <t>1월</t>
  </si>
  <si>
    <t>2월</t>
  </si>
  <si>
    <t>3월</t>
  </si>
  <si>
    <t>4월</t>
  </si>
  <si>
    <t>적금만기</t>
  </si>
  <si>
    <t>예금가입</t>
  </si>
  <si>
    <t>대박감자탕</t>
  </si>
  <si>
    <t>왕국해물찜</t>
  </si>
  <si>
    <t>대박마라탕</t>
  </si>
  <si>
    <t>라와마라탕</t>
  </si>
  <si>
    <t>이장돈까스</t>
  </si>
  <si>
    <t>취향저격탕수육</t>
  </si>
  <si>
    <t>호식이두마리치킨</t>
  </si>
  <si>
    <t>핫파스타</t>
  </si>
  <si>
    <t>노랑통닭</t>
  </si>
  <si>
    <t>고기한상</t>
  </si>
  <si>
    <t>청춘닭꼬치</t>
  </si>
  <si>
    <t>프레도피자</t>
  </si>
  <si>
    <t>웅이네닭발</t>
  </si>
  <si>
    <t>임실치즈피자</t>
  </si>
  <si>
    <t>직화삼겹살</t>
  </si>
  <si>
    <t>1. 대분류별 지출 상세</t>
    <phoneticPr fontId="1" type="noConversion"/>
  </si>
  <si>
    <t>2. 상위 10개 거래내역</t>
    <phoneticPr fontId="1" type="noConversion"/>
  </si>
  <si>
    <t>3. 월별 지출/수입 현황</t>
    <phoneticPr fontId="1" type="noConversion"/>
  </si>
  <si>
    <t>4. 시간대별 지출 현황</t>
    <phoneticPr fontId="1" type="noConversion"/>
  </si>
  <si>
    <t>5. 최근 30개 거래내역</t>
    <phoneticPr fontId="1" type="noConversion"/>
  </si>
  <si>
    <t>합계 : 입출금</t>
  </si>
  <si>
    <t>쿠팡</t>
    <phoneticPr fontId="1" type="noConversion"/>
  </si>
  <si>
    <t>적금</t>
    <phoneticPr fontId="1" type="noConversion"/>
  </si>
  <si>
    <t>상거래</t>
    <phoneticPr fontId="1" type="noConversion"/>
  </si>
  <si>
    <t>가스파스</t>
    <phoneticPr fontId="1" type="noConversion"/>
  </si>
  <si>
    <t>효성</t>
    <phoneticPr fontId="1" type="noConversion"/>
  </si>
  <si>
    <t>11번가</t>
    <phoneticPr fontId="1" type="noConversion"/>
  </si>
  <si>
    <t>예금</t>
    <phoneticPr fontId="1" type="noConversion"/>
  </si>
  <si>
    <t>탕수육</t>
    <phoneticPr fontId="1" type="noConversion"/>
  </si>
  <si>
    <t>펍</t>
    <phoneticPr fontId="1" type="noConversion"/>
  </si>
  <si>
    <t>배당금</t>
    <phoneticPr fontId="1" type="noConversion"/>
  </si>
  <si>
    <t>츄러스</t>
    <phoneticPr fontId="1" type="noConversion"/>
  </si>
  <si>
    <t>아웃백</t>
    <phoneticPr fontId="1" type="noConversion"/>
  </si>
  <si>
    <t>수수료</t>
    <phoneticPr fontId="1" type="noConversion"/>
  </si>
  <si>
    <t>중화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</si>
</sst>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#,###"/>
    <numFmt numFmtId="177" formatCode="#,##0;;;@"/>
    <numFmt numFmtId="178" formatCode=";;;@"/>
    <numFmt numFmtId="179" formatCode="mm\/dd"/>
    <numFmt numFmtId="180" formatCode="[Color43]\▲* #,##0;[Color46]\▼* #,##0"/>
  </numFmts>
  <fonts count="8">
    <font>
      <sz val="10"/>
      <name val="Arial"/>
      <family val="2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9"/>
      <color theme="0" tint="-4.9989318521683403E-2"/>
      <name val="맑은 고딕"/>
      <family val="3"/>
      <charset val="129"/>
      <scheme val="major"/>
    </font>
    <font>
      <b/>
      <sz val="9"/>
      <color theme="1" tint="0.1499984740745262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ABE0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0" fillId="2" borderId="0" xfId="0" applyFill="1"/>
    <xf numFmtId="14" fontId="3" fillId="0" borderId="0" xfId="0" applyNumberFormat="1" applyFont="1"/>
    <xf numFmtId="3" fontId="3" fillId="0" borderId="0" xfId="0" applyNumberFormat="1" applyFont="1"/>
    <xf numFmtId="3" fontId="0" fillId="0" borderId="0" xfId="0" applyNumberFormat="1"/>
    <xf numFmtId="0" fontId="3" fillId="0" borderId="0" xfId="0" pivotButton="1" applyFont="1"/>
    <xf numFmtId="0" fontId="3" fillId="0" borderId="0" xfId="0" applyFont="1" applyAlignment="1">
      <alignment horizontal="left"/>
    </xf>
    <xf numFmtId="177" fontId="3" fillId="0" borderId="0" xfId="0" applyNumberFormat="1" applyFont="1"/>
    <xf numFmtId="177" fontId="5" fillId="3" borderId="2" xfId="0" applyNumberFormat="1" applyFont="1" applyFill="1" applyBorder="1"/>
    <xf numFmtId="177" fontId="5" fillId="3" borderId="2" xfId="0" applyNumberFormat="1" applyFont="1" applyFill="1" applyBorder="1" applyAlignment="1">
      <alignment horizontal="right"/>
    </xf>
    <xf numFmtId="177" fontId="3" fillId="0" borderId="2" xfId="0" applyNumberFormat="1" applyFont="1" applyBorder="1"/>
    <xf numFmtId="17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79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9" fontId="7" fillId="4" borderId="3" xfId="0" applyNumberFormat="1" applyFont="1" applyFill="1" applyBorder="1" applyAlignment="1">
      <alignment horizontal="center" vertical="center"/>
    </xf>
    <xf numFmtId="178" fontId="7" fillId="4" borderId="3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180" fontId="6" fillId="0" borderId="3" xfId="0" applyNumberFormat="1" applyFont="1" applyBorder="1" applyAlignment="1">
      <alignment horizontal="right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14" fontId="3" fillId="0" borderId="7" xfId="0" applyNumberFormat="1" applyFont="1" applyBorder="1" applyAlignment="1">
      <alignment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77" fontId="5" fillId="3" borderId="2" xfId="0" applyNumberFormat="1" applyFont="1" applyFill="1" applyBorder="1" applyAlignment="1">
      <alignment horizontal="left"/>
    </xf>
    <xf numFmtId="177" fontId="5" fillId="3" borderId="0" xfId="0" applyNumberFormat="1" applyFont="1" applyFill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9" formatCode="yyyy/mm/dd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76" formatCode="#,###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76" formatCode="#,###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76" formatCode="#,###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numFmt numFmtId="19" formatCode="yyyy/mm/dd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</dxf>
    <dxf>
      <numFmt numFmtId="3" formatCode="#,##0"/>
    </dxf>
    <dxf>
      <numFmt numFmtId="3" formatCode="#,##0"/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numFmt numFmtId="3" formatCode="#,##0"/>
    </dxf>
    <dxf>
      <numFmt numFmtId="3" formatCode="#,##0"/>
    </dxf>
    <dxf>
      <numFmt numFmtId="3" formatCode="#,##0"/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numFmt numFmtId="3" formatCode="#,##0"/>
    </dxf>
    <dxf>
      <numFmt numFmtId="3" formatCode="#,##0"/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numFmt numFmtId="3" formatCode="#,##0"/>
    </dxf>
    <dxf>
      <numFmt numFmtId="3" formatCode="#,##0"/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name val="맑은 고딕"/>
        <family val="3"/>
        <charset val="129"/>
        <scheme val="major"/>
      </font>
    </dxf>
    <dxf>
      <font>
        <b/>
        <i val="0"/>
        <color theme="0"/>
      </font>
      <border>
        <bottom style="thin">
          <color theme="7"/>
        </bottom>
        <vertical/>
        <horizontal/>
      </border>
    </dxf>
    <dxf>
      <font>
        <color theme="0"/>
      </font>
      <fill>
        <patternFill>
          <bgColor rgb="FF1D1B25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KakaoBank슬라이서" pivot="0" table="0" count="10" xr9:uid="{AA973DBA-2A39-48A5-89FA-32B1ABF6F299}">
      <tableStyleElement type="wholeTable" dxfId="53"/>
      <tableStyleElement type="headerRow" dxfId="52"/>
    </tableStyle>
  </tableStyles>
  <colors>
    <mruColors>
      <color rgb="FFFF3300"/>
      <color rgb="FFFABE01"/>
      <color rgb="FF1D1B25"/>
      <color rgb="FFFFE697"/>
      <color rgb="FF1D1C1E"/>
      <color rgb="FF15131B"/>
      <color rgb="FFFFE000"/>
      <color rgb="FFF5F5F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rgb="FF1D1B25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KakaoBank슬라이서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[엑셀 카카오 스타일 가계부 대시보드 v1.0 - 오빠두엑셀.xlsx]피벗!피벗 테이블9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ABE0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피벗!$Q$5</c:f>
              <c:strCache>
                <c:ptCount val="1"/>
                <c:pt idx="0">
                  <c:v>요약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피벗!$P$6:$P$29</c:f>
              <c:strCach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피벗!$Q$6:$Q$29</c:f>
              <c:numCache>
                <c:formatCode>#,##0</c:formatCode>
                <c:ptCount val="23"/>
                <c:pt idx="0">
                  <c:v>97200</c:v>
                </c:pt>
                <c:pt idx="1">
                  <c:v>139800</c:v>
                </c:pt>
                <c:pt idx="2">
                  <c:v>71900</c:v>
                </c:pt>
                <c:pt idx="3">
                  <c:v>56700</c:v>
                </c:pt>
                <c:pt idx="4">
                  <c:v>8400</c:v>
                </c:pt>
                <c:pt idx="5">
                  <c:v>27300</c:v>
                </c:pt>
                <c:pt idx="6">
                  <c:v>167400</c:v>
                </c:pt>
                <c:pt idx="7">
                  <c:v>146800</c:v>
                </c:pt>
                <c:pt idx="8">
                  <c:v>956100</c:v>
                </c:pt>
                <c:pt idx="9">
                  <c:v>2597700</c:v>
                </c:pt>
                <c:pt idx="10">
                  <c:v>547000</c:v>
                </c:pt>
                <c:pt idx="11">
                  <c:v>149700</c:v>
                </c:pt>
                <c:pt idx="12">
                  <c:v>410100</c:v>
                </c:pt>
                <c:pt idx="13">
                  <c:v>263800</c:v>
                </c:pt>
                <c:pt idx="14">
                  <c:v>1569300</c:v>
                </c:pt>
                <c:pt idx="15">
                  <c:v>460000</c:v>
                </c:pt>
                <c:pt idx="16">
                  <c:v>6540900</c:v>
                </c:pt>
                <c:pt idx="17">
                  <c:v>2076400</c:v>
                </c:pt>
                <c:pt idx="18">
                  <c:v>664000</c:v>
                </c:pt>
                <c:pt idx="19">
                  <c:v>718200</c:v>
                </c:pt>
                <c:pt idx="20">
                  <c:v>294400</c:v>
                </c:pt>
                <c:pt idx="21">
                  <c:v>1115000</c:v>
                </c:pt>
                <c:pt idx="22">
                  <c:v>1049900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55-470F-AB05-C86342251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34928"/>
        <c:axId val="182426192"/>
      </c:lineChart>
      <c:catAx>
        <c:axId val="1824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426192"/>
        <c:crosses val="autoZero"/>
        <c:auto val="1"/>
        <c:lblAlgn val="ctr"/>
        <c:lblOffset val="100"/>
        <c:noMultiLvlLbl val="0"/>
      </c:catAx>
      <c:valAx>
        <c:axId val="1824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43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[엑셀 카카오 스타일 가계부 대시보드 v1.0 - 오빠두엑셀.xlsx]피벗!피벗 테이블4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ABE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ABE01">
                <a:alpha val="19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33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3300">
                <a:alpha val="5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000">
                <a:alpha val="2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33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3300">
                <a:alpha val="53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피벗!$M$5</c:f>
              <c:strCache>
                <c:ptCount val="1"/>
                <c:pt idx="0">
                  <c:v>합계 : 출금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>
                  <a:alpha val="2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피벗!$K$6:$L$10</c:f>
              <c:multiLvlStrCache>
                <c:ptCount val="5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</c:lvl>
                <c:lvl>
                  <c:pt idx="0">
                    <c:v>2022년</c:v>
                  </c:pt>
                </c:lvl>
              </c:multiLvlStrCache>
            </c:multiLvlStrRef>
          </c:cat>
          <c:val>
            <c:numRef>
              <c:f>피벗!$M$6:$M$10</c:f>
              <c:numCache>
                <c:formatCode>#,##0</c:formatCode>
                <c:ptCount val="5"/>
                <c:pt idx="0">
                  <c:v>2690200</c:v>
                </c:pt>
                <c:pt idx="1">
                  <c:v>2815400</c:v>
                </c:pt>
                <c:pt idx="2">
                  <c:v>8637300</c:v>
                </c:pt>
                <c:pt idx="3">
                  <c:v>2785700</c:v>
                </c:pt>
                <c:pt idx="4">
                  <c:v>3199400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1-46A0-89E2-34A4CF591414}"/>
            </c:ext>
          </c:extLst>
        </c:ser>
        <c:ser>
          <c:idx val="1"/>
          <c:order val="1"/>
          <c:tx>
            <c:strRef>
              <c:f>피벗!$N$5</c:f>
              <c:strCache>
                <c:ptCount val="1"/>
                <c:pt idx="0">
                  <c:v>합계 : 입금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3300">
                  <a:alpha val="53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피벗!$K$6:$L$10</c:f>
              <c:multiLvlStrCache>
                <c:ptCount val="5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</c:lvl>
                <c:lvl>
                  <c:pt idx="0">
                    <c:v>2022년</c:v>
                  </c:pt>
                </c:lvl>
              </c:multiLvlStrCache>
            </c:multiLvlStrRef>
          </c:cat>
          <c:val>
            <c:numRef>
              <c:f>피벗!$N$6:$N$10</c:f>
              <c:numCache>
                <c:formatCode>#,##0</c:formatCode>
                <c:ptCount val="5"/>
                <c:pt idx="0">
                  <c:v>2870190</c:v>
                </c:pt>
                <c:pt idx="1">
                  <c:v>2436590</c:v>
                </c:pt>
                <c:pt idx="2">
                  <c:v>8604920</c:v>
                </c:pt>
                <c:pt idx="3">
                  <c:v>3284360</c:v>
                </c:pt>
                <c:pt idx="4">
                  <c:v>2789730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1-46A0-89E2-34A4CF591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3141936"/>
        <c:axId val="113141520"/>
      </c:barChart>
      <c:catAx>
        <c:axId val="11314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1520"/>
        <c:crosses val="autoZero"/>
        <c:auto val="1"/>
        <c:lblAlgn val="ctr"/>
        <c:lblOffset val="100"/>
        <c:noMultiLvlLbl val="0"/>
      </c:catAx>
      <c:valAx>
        <c:axId val="113141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1314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[엑셀 카카오 스타일 가계부 대시보드 v1.0 - 오빠두엑셀.xlsx]피벗!피벗_지출요약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ABE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피벗!$C$5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피벗!$B$6:$B$18</c:f>
              <c:strCache>
                <c:ptCount val="12"/>
                <c:pt idx="0">
                  <c:v>투자비</c:v>
                </c:pt>
                <c:pt idx="1">
                  <c:v>주거/공과금</c:v>
                </c:pt>
                <c:pt idx="2">
                  <c:v>식비</c:v>
                </c:pt>
                <c:pt idx="3">
                  <c:v>생활비</c:v>
                </c:pt>
                <c:pt idx="4">
                  <c:v>사업운영비</c:v>
                </c:pt>
                <c:pt idx="5">
                  <c:v>교육비</c:v>
                </c:pt>
                <c:pt idx="6">
                  <c:v>경조사비</c:v>
                </c:pt>
                <c:pt idx="7">
                  <c:v>보험비</c:v>
                </c:pt>
                <c:pt idx="8">
                  <c:v>통신비</c:v>
                </c:pt>
                <c:pt idx="9">
                  <c:v>문화생활비</c:v>
                </c:pt>
                <c:pt idx="10">
                  <c:v>교통비</c:v>
                </c:pt>
                <c:pt idx="11">
                  <c:v>의료비</c:v>
                </c:pt>
              </c:strCache>
            </c:strRef>
          </c:cat>
          <c:val>
            <c:numRef>
              <c:f>피벗!$C$6:$C$18</c:f>
              <c:numCache>
                <c:formatCode>#,##0</c:formatCode>
                <c:ptCount val="12"/>
                <c:pt idx="0">
                  <c:v>7812000</c:v>
                </c:pt>
                <c:pt idx="1">
                  <c:v>4709200</c:v>
                </c:pt>
                <c:pt idx="2">
                  <c:v>2795400</c:v>
                </c:pt>
                <c:pt idx="3">
                  <c:v>1633300</c:v>
                </c:pt>
                <c:pt idx="4">
                  <c:v>1359400</c:v>
                </c:pt>
                <c:pt idx="5">
                  <c:v>496800</c:v>
                </c:pt>
                <c:pt idx="6">
                  <c:v>479300</c:v>
                </c:pt>
                <c:pt idx="7">
                  <c:v>308000</c:v>
                </c:pt>
                <c:pt idx="8">
                  <c:v>247200</c:v>
                </c:pt>
                <c:pt idx="9">
                  <c:v>164300</c:v>
                </c:pt>
                <c:pt idx="10">
                  <c:v>78100</c:v>
                </c:pt>
                <c:pt idx="11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B-4487-AC3E-37C09629E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2395408"/>
        <c:axId val="182386256"/>
      </c:barChart>
      <c:catAx>
        <c:axId val="1823954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386256"/>
        <c:crosses val="autoZero"/>
        <c:auto val="1"/>
        <c:lblAlgn val="ctr"/>
        <c:lblOffset val="100"/>
        <c:noMultiLvlLbl val="0"/>
      </c:catAx>
      <c:valAx>
        <c:axId val="18238625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239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피벗!$I$5</c:f>
              <c:strCache>
                <c:ptCount val="1"/>
                <c:pt idx="0">
                  <c:v>합계</c:v>
                </c:pt>
              </c:strCache>
            </c:strRef>
          </c:tx>
          <c:spPr>
            <a:solidFill>
              <a:srgbClr val="FABE0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피벗!$H$6:$H$15</c:f>
              <c:strCache>
                <c:ptCount val="10"/>
                <c:pt idx="0">
                  <c:v>예금가입</c:v>
                </c:pt>
                <c:pt idx="1">
                  <c:v>자이아파트_월세</c:v>
                </c:pt>
                <c:pt idx="2">
                  <c:v>엑셀특별적금</c:v>
                </c:pt>
                <c:pt idx="3">
                  <c:v>위워크</c:v>
                </c:pt>
                <c:pt idx="4">
                  <c:v>자이아파트_관리비</c:v>
                </c:pt>
                <c:pt idx="5">
                  <c:v>늘배움학원</c:v>
                </c:pt>
                <c:pt idx="6">
                  <c:v>풀무원</c:v>
                </c:pt>
                <c:pt idx="7">
                  <c:v>ZARA</c:v>
                </c:pt>
                <c:pt idx="8">
                  <c:v>GS25 편의점</c:v>
                </c:pt>
                <c:pt idx="9">
                  <c:v>카카오(기프티콘)</c:v>
                </c:pt>
              </c:strCache>
            </c:strRef>
          </c:cat>
          <c:val>
            <c:numRef>
              <c:f>피벗!$I$6:$I$15</c:f>
              <c:numCache>
                <c:formatCode>#,##0;;;@</c:formatCode>
                <c:ptCount val="10"/>
                <c:pt idx="0">
                  <c:v>5562000</c:v>
                </c:pt>
                <c:pt idx="1">
                  <c:v>4033500</c:v>
                </c:pt>
                <c:pt idx="2">
                  <c:v>2250000</c:v>
                </c:pt>
                <c:pt idx="3">
                  <c:v>683800</c:v>
                </c:pt>
                <c:pt idx="4">
                  <c:v>619200</c:v>
                </c:pt>
                <c:pt idx="5">
                  <c:v>496800</c:v>
                </c:pt>
                <c:pt idx="6">
                  <c:v>432900</c:v>
                </c:pt>
                <c:pt idx="7">
                  <c:v>420600</c:v>
                </c:pt>
                <c:pt idx="8">
                  <c:v>371300</c:v>
                </c:pt>
                <c:pt idx="9">
                  <c:v>332000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0-4F54-A058-5D983F1AC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3144432"/>
        <c:axId val="113148592"/>
      </c:barChart>
      <c:catAx>
        <c:axId val="113144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8592"/>
        <c:crosses val="autoZero"/>
        <c:auto val="1"/>
        <c:lblAlgn val="ctr"/>
        <c:lblOffset val="100"/>
        <c:noMultiLvlLbl val="0"/>
      </c:catAx>
      <c:valAx>
        <c:axId val="11314859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#,##0;;;@" sourceLinked="1"/>
        <c:majorTickMark val="none"/>
        <c:minorTickMark val="none"/>
        <c:tickLblPos val="nextTo"/>
        <c:crossAx val="11314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2" Type="http://schemas.openxmlformats.org/officeDocument/2006/relationships/chart" Target="../charts/chart2.xml"/><Relationship Id="rId16" Type="http://schemas.openxmlformats.org/officeDocument/2006/relationships/image" Target="../media/image12.svg"/><Relationship Id="rId1" Type="http://schemas.openxmlformats.org/officeDocument/2006/relationships/chart" Target="../charts/chart1.xml"/><Relationship Id="rId6" Type="http://schemas.openxmlformats.org/officeDocument/2006/relationships/image" Target="../media/image2.emf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5" Type="http://schemas.openxmlformats.org/officeDocument/2006/relationships/image" Target="../media/image1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124238</xdr:colOff>
      <xdr:row>40</xdr:row>
      <xdr:rowOff>74544</xdr:rowOff>
    </xdr:to>
    <xdr:sp macro="" textlink="">
      <xdr:nvSpPr>
        <xdr:cNvPr id="35" name="사각형: 둥근 모서리 34">
          <a:extLst>
            <a:ext uri="{FF2B5EF4-FFF2-40B4-BE49-F238E27FC236}">
              <a16:creationId xmlns:a16="http://schemas.microsoft.com/office/drawing/2014/main" id="{0D1D0120-3338-3044-484A-9B97E95B048E}"/>
            </a:ext>
          </a:extLst>
        </xdr:cNvPr>
        <xdr:cNvSpPr/>
      </xdr:nvSpPr>
      <xdr:spPr>
        <a:xfrm>
          <a:off x="0" y="0"/>
          <a:ext cx="2575890" cy="7495761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4</xdr:col>
      <xdr:colOff>384245</xdr:colOff>
      <xdr:row>0</xdr:row>
      <xdr:rowOff>919366</xdr:rowOff>
    </xdr:from>
    <xdr:to>
      <xdr:col>9</xdr:col>
      <xdr:colOff>343680</xdr:colOff>
      <xdr:row>5</xdr:row>
      <xdr:rowOff>51975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989D3CF5-7EB4-066E-31FA-4A9A2EE2B85C}"/>
            </a:ext>
          </a:extLst>
        </xdr:cNvPr>
        <xdr:cNvSpPr/>
      </xdr:nvSpPr>
      <xdr:spPr>
        <a:xfrm>
          <a:off x="2835897" y="919366"/>
          <a:ext cx="3024000" cy="756000"/>
        </a:xfrm>
        <a:prstGeom prst="roundRect">
          <a:avLst>
            <a:gd name="adj" fmla="val 9649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41</xdr:col>
      <xdr:colOff>104775</xdr:colOff>
      <xdr:row>0</xdr:row>
      <xdr:rowOff>776654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70DFB104-CF33-44FE-AAA9-02FB9244555C}"/>
            </a:ext>
          </a:extLst>
        </xdr:cNvPr>
        <xdr:cNvSpPr/>
      </xdr:nvSpPr>
      <xdr:spPr>
        <a:xfrm>
          <a:off x="0" y="1"/>
          <a:ext cx="25234210" cy="776653"/>
        </a:xfrm>
        <a:prstGeom prst="roundRect">
          <a:avLst>
            <a:gd name="adj" fmla="val 0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207064</xdr:colOff>
      <xdr:row>0</xdr:row>
      <xdr:rowOff>278991</xdr:rowOff>
    </xdr:from>
    <xdr:to>
      <xdr:col>14</xdr:col>
      <xdr:colOff>289888</xdr:colOff>
      <xdr:row>0</xdr:row>
      <xdr:rowOff>588386</xdr:rowOff>
    </xdr:to>
    <xdr:sp macro="" textlink="거래내역!L7">
      <xdr:nvSpPr>
        <xdr:cNvPr id="5" name="TextBox 4">
          <a:extLst>
            <a:ext uri="{FF2B5EF4-FFF2-40B4-BE49-F238E27FC236}">
              <a16:creationId xmlns:a16="http://schemas.microsoft.com/office/drawing/2014/main" id="{5D379236-6D18-02F5-FEF4-71EEA1BB0799}"/>
            </a:ext>
          </a:extLst>
        </xdr:cNvPr>
        <xdr:cNvSpPr txBox="1"/>
      </xdr:nvSpPr>
      <xdr:spPr>
        <a:xfrm>
          <a:off x="5723281" y="278991"/>
          <a:ext cx="3147390" cy="309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fld id="{B5C6E4D6-B460-4D48-A6EC-92F6D97C71FC}" type="TxLink">
            <a:rPr lang="ko-KR" altLang="en-US" sz="1400" b="0" i="0" u="none" strike="noStrike">
              <a:solidFill>
                <a:schemeClr val="bg1"/>
              </a:solidFill>
              <a:latin typeface="공체 Light" panose="00000300000000000000" pitchFamily="2" charset="-127"/>
              <a:ea typeface="공체 Light" panose="00000300000000000000" pitchFamily="2" charset="-127"/>
            </a:rPr>
            <a:pPr algn="r"/>
            <a:t>마지막 업데이트 : 2022년 05월 31일</a:t>
          </a:fld>
          <a:endParaRPr lang="ko-KR" altLang="en-US" sz="2400">
            <a:solidFill>
              <a:schemeClr val="bg1"/>
            </a:solidFill>
            <a:latin typeface="공체 Light" panose="00000300000000000000" pitchFamily="2" charset="-127"/>
            <a:ea typeface="공체 Light" panose="00000300000000000000" pitchFamily="2" charset="-127"/>
          </a:endParaRPr>
        </a:p>
      </xdr:txBody>
    </xdr:sp>
    <xdr:clientData/>
  </xdr:twoCellAnchor>
  <xdr:twoCellAnchor>
    <xdr:from>
      <xdr:col>1</xdr:col>
      <xdr:colOff>447182</xdr:colOff>
      <xdr:row>0</xdr:row>
      <xdr:rowOff>594344</xdr:rowOff>
    </xdr:from>
    <xdr:to>
      <xdr:col>10</xdr:col>
      <xdr:colOff>44902</xdr:colOff>
      <xdr:row>0</xdr:row>
      <xdr:rowOff>643211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CF2D93D-EEC7-797B-A6F5-9277F37DFC10}"/>
            </a:ext>
          </a:extLst>
        </xdr:cNvPr>
        <xdr:cNvSpPr/>
      </xdr:nvSpPr>
      <xdr:spPr>
        <a:xfrm>
          <a:off x="1060095" y="594344"/>
          <a:ext cx="5113937" cy="48867"/>
        </a:xfrm>
        <a:prstGeom prst="rect">
          <a:avLst/>
        </a:prstGeom>
        <a:solidFill>
          <a:srgbClr val="FABE0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348406</xdr:colOff>
      <xdr:row>0</xdr:row>
      <xdr:rowOff>26760</xdr:rowOff>
    </xdr:from>
    <xdr:to>
      <xdr:col>10</xdr:col>
      <xdr:colOff>152357</xdr:colOff>
      <xdr:row>0</xdr:row>
      <xdr:rowOff>538152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CB9FF9-7114-248C-301A-3364C8F0D1D8}"/>
            </a:ext>
          </a:extLst>
        </xdr:cNvPr>
        <xdr:cNvSpPr txBox="1"/>
      </xdr:nvSpPr>
      <xdr:spPr>
        <a:xfrm>
          <a:off x="960011" y="26760"/>
          <a:ext cx="5308399" cy="511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28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Kakao</a:t>
          </a:r>
          <a:r>
            <a:rPr lang="en-US" altLang="ko-KR" sz="2800" baseline="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 Bank </a:t>
          </a:r>
          <a:r>
            <a:rPr lang="ko-KR" altLang="en-US" sz="2800" baseline="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가계부 대시보드</a:t>
          </a:r>
          <a:endParaRPr lang="ko-KR" altLang="en-US" sz="2800">
            <a:solidFill>
              <a:schemeClr val="bg1"/>
            </a:solidFill>
            <a:latin typeface="공체 Medium" panose="00000600000000000000" pitchFamily="2" charset="-127"/>
            <a:ea typeface="공체 Medium" panose="00000600000000000000" pitchFamily="2" charset="-127"/>
          </a:endParaRPr>
        </a:p>
      </xdr:txBody>
    </xdr:sp>
    <xdr:clientData/>
  </xdr:twoCellAnchor>
  <xdr:twoCellAnchor>
    <xdr:from>
      <xdr:col>12</xdr:col>
      <xdr:colOff>383763</xdr:colOff>
      <xdr:row>23</xdr:row>
      <xdr:rowOff>367</xdr:rowOff>
    </xdr:from>
    <xdr:to>
      <xdr:col>20</xdr:col>
      <xdr:colOff>268459</xdr:colOff>
      <xdr:row>38</xdr:row>
      <xdr:rowOff>107584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B74400E3-4D13-0D32-E05A-0EF1ED9428AF}"/>
            </a:ext>
          </a:extLst>
        </xdr:cNvPr>
        <xdr:cNvSpPr/>
      </xdr:nvSpPr>
      <xdr:spPr>
        <a:xfrm>
          <a:off x="7738720" y="4605497"/>
          <a:ext cx="4788000" cy="2592000"/>
        </a:xfrm>
        <a:prstGeom prst="roundRect">
          <a:avLst>
            <a:gd name="adj" fmla="val 5427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12</xdr:col>
      <xdr:colOff>474850</xdr:colOff>
      <xdr:row>25</xdr:row>
      <xdr:rowOff>0</xdr:rowOff>
    </xdr:from>
    <xdr:to>
      <xdr:col>20</xdr:col>
      <xdr:colOff>198782</xdr:colOff>
      <xdr:row>38</xdr:row>
      <xdr:rowOff>32864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6728EC6B-E8AF-4FC8-8476-D8D823621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352815</xdr:colOff>
      <xdr:row>23</xdr:row>
      <xdr:rowOff>367</xdr:rowOff>
    </xdr:from>
    <xdr:to>
      <xdr:col>12</xdr:col>
      <xdr:colOff>237510</xdr:colOff>
      <xdr:row>38</xdr:row>
      <xdr:rowOff>107584</xdr:rowOff>
    </xdr:to>
    <xdr:sp macro="" textlink="">
      <xdr:nvSpPr>
        <xdr:cNvPr id="21" name="사각형: 둥근 모서리 20">
          <a:extLst>
            <a:ext uri="{FF2B5EF4-FFF2-40B4-BE49-F238E27FC236}">
              <a16:creationId xmlns:a16="http://schemas.microsoft.com/office/drawing/2014/main" id="{B92AA014-12D5-923B-626A-71D1443BD3D9}"/>
            </a:ext>
          </a:extLst>
        </xdr:cNvPr>
        <xdr:cNvSpPr/>
      </xdr:nvSpPr>
      <xdr:spPr>
        <a:xfrm>
          <a:off x="2804467" y="4605497"/>
          <a:ext cx="4788000" cy="2592000"/>
        </a:xfrm>
        <a:prstGeom prst="roundRect">
          <a:avLst>
            <a:gd name="adj" fmla="val 5427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4</xdr:col>
      <xdr:colOff>463398</xdr:colOff>
      <xdr:row>24</xdr:row>
      <xdr:rowOff>149087</xdr:rowOff>
    </xdr:from>
    <xdr:to>
      <xdr:col>12</xdr:col>
      <xdr:colOff>140803</xdr:colOff>
      <xdr:row>38</xdr:row>
      <xdr:rowOff>41411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50213FBF-8639-4304-BBF6-8FFF3CC84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352815</xdr:colOff>
      <xdr:row>6</xdr:row>
      <xdr:rowOff>16832</xdr:rowOff>
    </xdr:from>
    <xdr:to>
      <xdr:col>12</xdr:col>
      <xdr:colOff>237510</xdr:colOff>
      <xdr:row>22</xdr:row>
      <xdr:rowOff>66397</xdr:rowOff>
    </xdr:to>
    <xdr:sp macro="" textlink="">
      <xdr:nvSpPr>
        <xdr:cNvPr id="27" name="사각형: 둥근 모서리 26">
          <a:extLst>
            <a:ext uri="{FF2B5EF4-FFF2-40B4-BE49-F238E27FC236}">
              <a16:creationId xmlns:a16="http://schemas.microsoft.com/office/drawing/2014/main" id="{129AD428-C385-1F83-4805-7D1BBE20E301}"/>
            </a:ext>
          </a:extLst>
        </xdr:cNvPr>
        <xdr:cNvSpPr/>
      </xdr:nvSpPr>
      <xdr:spPr>
        <a:xfrm>
          <a:off x="2804467" y="1805875"/>
          <a:ext cx="4788000" cy="2700000"/>
        </a:xfrm>
        <a:prstGeom prst="roundRect">
          <a:avLst>
            <a:gd name="adj" fmla="val 5427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4</xdr:col>
      <xdr:colOff>413907</xdr:colOff>
      <xdr:row>7</xdr:row>
      <xdr:rowOff>149087</xdr:rowOff>
    </xdr:from>
    <xdr:to>
      <xdr:col>12</xdr:col>
      <xdr:colOff>173934</xdr:colOff>
      <xdr:row>22</xdr:row>
      <xdr:rowOff>9998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86FA2A84-E13B-49D2-A6DE-520A757B5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383763</xdr:colOff>
      <xdr:row>6</xdr:row>
      <xdr:rowOff>16832</xdr:rowOff>
    </xdr:from>
    <xdr:to>
      <xdr:col>20</xdr:col>
      <xdr:colOff>268459</xdr:colOff>
      <xdr:row>22</xdr:row>
      <xdr:rowOff>66397</xdr:rowOff>
    </xdr:to>
    <xdr:sp macro="" textlink="">
      <xdr:nvSpPr>
        <xdr:cNvPr id="29" name="사각형: 둥근 모서리 28">
          <a:extLst>
            <a:ext uri="{FF2B5EF4-FFF2-40B4-BE49-F238E27FC236}">
              <a16:creationId xmlns:a16="http://schemas.microsoft.com/office/drawing/2014/main" id="{CD0479DE-CE57-EAC2-262E-D8ED89D15227}"/>
            </a:ext>
          </a:extLst>
        </xdr:cNvPr>
        <xdr:cNvSpPr/>
      </xdr:nvSpPr>
      <xdr:spPr>
        <a:xfrm>
          <a:off x="7738720" y="1805875"/>
          <a:ext cx="4788000" cy="2700000"/>
        </a:xfrm>
        <a:prstGeom prst="roundRect">
          <a:avLst>
            <a:gd name="adj" fmla="val 5427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</a:t>
          </a:r>
        </a:p>
      </xdr:txBody>
    </xdr:sp>
    <xdr:clientData/>
  </xdr:twoCellAnchor>
  <xdr:twoCellAnchor>
    <xdr:from>
      <xdr:col>12</xdr:col>
      <xdr:colOff>433834</xdr:colOff>
      <xdr:row>7</xdr:row>
      <xdr:rowOff>91108</xdr:rowOff>
    </xdr:from>
    <xdr:to>
      <xdr:col>20</xdr:col>
      <xdr:colOff>173933</xdr:colOff>
      <xdr:row>22</xdr:row>
      <xdr:rowOff>10267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16BDF5E2-AD88-4AC6-BC5B-AE73C9DD1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353047</xdr:colOff>
      <xdr:row>0</xdr:row>
      <xdr:rowOff>148723</xdr:rowOff>
    </xdr:from>
    <xdr:to>
      <xdr:col>1</xdr:col>
      <xdr:colOff>252662</xdr:colOff>
      <xdr:row>0</xdr:row>
      <xdr:rowOff>660796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AEA40413-F27A-4B6E-E7C3-11B1525C7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047" y="148723"/>
          <a:ext cx="512528" cy="512073"/>
        </a:xfrm>
        <a:prstGeom prst="roundRect">
          <a:avLst/>
        </a:prstGeom>
      </xdr:spPr>
    </xdr:pic>
    <xdr:clientData/>
  </xdr:twoCellAnchor>
  <xdr:twoCellAnchor>
    <xdr:from>
      <xdr:col>10</xdr:col>
      <xdr:colOff>15669</xdr:colOff>
      <xdr:row>0</xdr:row>
      <xdr:rowOff>919366</xdr:rowOff>
    </xdr:from>
    <xdr:to>
      <xdr:col>14</xdr:col>
      <xdr:colOff>588016</xdr:colOff>
      <xdr:row>5</xdr:row>
      <xdr:rowOff>51975</xdr:rowOff>
    </xdr:to>
    <xdr:sp macro="" textlink="">
      <xdr:nvSpPr>
        <xdr:cNvPr id="38" name="사각형: 둥근 모서리 37">
          <a:extLst>
            <a:ext uri="{FF2B5EF4-FFF2-40B4-BE49-F238E27FC236}">
              <a16:creationId xmlns:a16="http://schemas.microsoft.com/office/drawing/2014/main" id="{2722E14E-EF0F-C6C3-680B-16A52523963B}"/>
            </a:ext>
          </a:extLst>
        </xdr:cNvPr>
        <xdr:cNvSpPr/>
      </xdr:nvSpPr>
      <xdr:spPr>
        <a:xfrm>
          <a:off x="6144799" y="919366"/>
          <a:ext cx="3024000" cy="756000"/>
        </a:xfrm>
        <a:prstGeom prst="roundRect">
          <a:avLst>
            <a:gd name="adj" fmla="val 9649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15</xdr:col>
      <xdr:colOff>260004</xdr:colOff>
      <xdr:row>0</xdr:row>
      <xdr:rowOff>919366</xdr:rowOff>
    </xdr:from>
    <xdr:to>
      <xdr:col>20</xdr:col>
      <xdr:colOff>219439</xdr:colOff>
      <xdr:row>5</xdr:row>
      <xdr:rowOff>51975</xdr:rowOff>
    </xdr:to>
    <xdr:sp macro="" textlink="">
      <xdr:nvSpPr>
        <xdr:cNvPr id="39" name="사각형: 둥근 모서리 38">
          <a:extLst>
            <a:ext uri="{FF2B5EF4-FFF2-40B4-BE49-F238E27FC236}">
              <a16:creationId xmlns:a16="http://schemas.microsoft.com/office/drawing/2014/main" id="{36100771-AAEA-162A-246A-C35C07213E37}"/>
            </a:ext>
          </a:extLst>
        </xdr:cNvPr>
        <xdr:cNvSpPr/>
      </xdr:nvSpPr>
      <xdr:spPr>
        <a:xfrm>
          <a:off x="9453700" y="919366"/>
          <a:ext cx="3024000" cy="756000"/>
        </a:xfrm>
        <a:prstGeom prst="roundRect">
          <a:avLst>
            <a:gd name="adj" fmla="val 9649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xdr:twoCellAnchor>
    <xdr:from>
      <xdr:col>20</xdr:col>
      <xdr:colOff>422414</xdr:colOff>
      <xdr:row>0</xdr:row>
      <xdr:rowOff>911087</xdr:rowOff>
    </xdr:from>
    <xdr:to>
      <xdr:col>24</xdr:col>
      <xdr:colOff>579783</xdr:colOff>
      <xdr:row>38</xdr:row>
      <xdr:rowOff>124240</xdr:rowOff>
    </xdr:to>
    <xdr:sp macro="" textlink="">
      <xdr:nvSpPr>
        <xdr:cNvPr id="40" name="사각형: 둥근 모서리 39">
          <a:extLst>
            <a:ext uri="{FF2B5EF4-FFF2-40B4-BE49-F238E27FC236}">
              <a16:creationId xmlns:a16="http://schemas.microsoft.com/office/drawing/2014/main" id="{29972441-3B05-2169-617B-13754494341B}"/>
            </a:ext>
          </a:extLst>
        </xdr:cNvPr>
        <xdr:cNvSpPr/>
      </xdr:nvSpPr>
      <xdr:spPr>
        <a:xfrm>
          <a:off x="12680675" y="911087"/>
          <a:ext cx="2609021" cy="6303066"/>
        </a:xfrm>
        <a:prstGeom prst="roundRect">
          <a:avLst>
            <a:gd name="adj" fmla="val 4773"/>
          </a:avLst>
        </a:prstGeom>
        <a:solidFill>
          <a:srgbClr val="1D1B2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562437</xdr:colOff>
          <xdr:row>3</xdr:row>
          <xdr:rowOff>49696</xdr:rowOff>
        </xdr:from>
        <xdr:to>
          <xdr:col>24</xdr:col>
          <xdr:colOff>447260</xdr:colOff>
          <xdr:row>37</xdr:row>
          <xdr:rowOff>165651</xdr:rowOff>
        </xdr:to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4EC9DD8D-9BD0-93FA-9378-105C9A71BA7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피벗!$W$5:$Y$35" spid="_x0000_s1104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2820698" y="1341783"/>
              <a:ext cx="2336475" cy="57481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</xdr:col>
      <xdr:colOff>396793</xdr:colOff>
      <xdr:row>0</xdr:row>
      <xdr:rowOff>911085</xdr:rowOff>
    </xdr:from>
    <xdr:to>
      <xdr:col>6</xdr:col>
      <xdr:colOff>0</xdr:colOff>
      <xdr:row>2</xdr:row>
      <xdr:rowOff>99390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DB3C51-456C-46DB-98E8-BDB91939B7A2}"/>
            </a:ext>
          </a:extLst>
        </xdr:cNvPr>
        <xdr:cNvSpPr txBox="1"/>
      </xdr:nvSpPr>
      <xdr:spPr>
        <a:xfrm>
          <a:off x="2848445" y="911085"/>
          <a:ext cx="829033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통장 잔액</a:t>
          </a:r>
        </a:p>
      </xdr:txBody>
    </xdr:sp>
    <xdr:clientData/>
  </xdr:twoCellAnchor>
  <xdr:twoCellAnchor>
    <xdr:from>
      <xdr:col>10</xdr:col>
      <xdr:colOff>32358</xdr:colOff>
      <xdr:row>0</xdr:row>
      <xdr:rowOff>911085</xdr:rowOff>
    </xdr:from>
    <xdr:to>
      <xdr:col>11</xdr:col>
      <xdr:colOff>248478</xdr:colOff>
      <xdr:row>2</xdr:row>
      <xdr:rowOff>99390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664A3C8-B2DB-88E4-6C41-74F1E210C687}"/>
            </a:ext>
          </a:extLst>
        </xdr:cNvPr>
        <xdr:cNvSpPr txBox="1"/>
      </xdr:nvSpPr>
      <xdr:spPr>
        <a:xfrm>
          <a:off x="6161488" y="911085"/>
          <a:ext cx="829033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지출 현황</a:t>
          </a:r>
        </a:p>
      </xdr:txBody>
    </xdr:sp>
    <xdr:clientData/>
  </xdr:twoCellAnchor>
  <xdr:twoCellAnchor>
    <xdr:from>
      <xdr:col>15</xdr:col>
      <xdr:colOff>289118</xdr:colOff>
      <xdr:row>0</xdr:row>
      <xdr:rowOff>911085</xdr:rowOff>
    </xdr:from>
    <xdr:to>
      <xdr:col>16</xdr:col>
      <xdr:colOff>505238</xdr:colOff>
      <xdr:row>2</xdr:row>
      <xdr:rowOff>99390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5FD0B0-F7CE-4D4E-AF33-2C581B236E55}"/>
            </a:ext>
          </a:extLst>
        </xdr:cNvPr>
        <xdr:cNvSpPr txBox="1"/>
      </xdr:nvSpPr>
      <xdr:spPr>
        <a:xfrm>
          <a:off x="9482814" y="911085"/>
          <a:ext cx="829033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수입 현황</a:t>
          </a:r>
        </a:p>
      </xdr:txBody>
    </xdr:sp>
    <xdr:clientData/>
  </xdr:twoCellAnchor>
  <xdr:twoCellAnchor>
    <xdr:from>
      <xdr:col>4</xdr:col>
      <xdr:colOff>505240</xdr:colOff>
      <xdr:row>2</xdr:row>
      <xdr:rowOff>24848</xdr:rowOff>
    </xdr:from>
    <xdr:to>
      <xdr:col>8</xdr:col>
      <xdr:colOff>546653</xdr:colOff>
      <xdr:row>5</xdr:row>
      <xdr:rowOff>0</xdr:rowOff>
    </xdr:to>
    <xdr:sp macro="" textlink="거래내역!L8">
      <xdr:nvSpPr>
        <xdr:cNvPr id="23" name="TextBox 22">
          <a:extLst>
            <a:ext uri="{FF2B5EF4-FFF2-40B4-BE49-F238E27FC236}">
              <a16:creationId xmlns:a16="http://schemas.microsoft.com/office/drawing/2014/main" id="{EAC991BB-E1A2-B40D-88CF-119B28C62CAC}"/>
            </a:ext>
          </a:extLst>
        </xdr:cNvPr>
        <xdr:cNvSpPr txBox="1"/>
      </xdr:nvSpPr>
      <xdr:spPr>
        <a:xfrm>
          <a:off x="2956892" y="1151283"/>
          <a:ext cx="2493065" cy="472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7D00EAF1-98C4-4047-BAD6-5379E57F1D26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1,361,690</a:t>
          </a:fld>
          <a:endParaRPr lang="ko-KR" altLang="en-US" sz="2400" b="1">
            <a:solidFill>
              <a:schemeClr val="bg1"/>
            </a:solidFill>
            <a:latin typeface="공체 Medium" panose="00000600000000000000" pitchFamily="2" charset="-127"/>
            <a:ea typeface="공체 Medium" panose="00000600000000000000" pitchFamily="2" charset="-127"/>
          </a:endParaRPr>
        </a:p>
      </xdr:txBody>
    </xdr:sp>
    <xdr:clientData/>
  </xdr:twoCellAnchor>
  <xdr:twoCellAnchor>
    <xdr:from>
      <xdr:col>8</xdr:col>
      <xdr:colOff>521805</xdr:colOff>
      <xdr:row>2</xdr:row>
      <xdr:rowOff>157369</xdr:rowOff>
    </xdr:from>
    <xdr:to>
      <xdr:col>9</xdr:col>
      <xdr:colOff>273326</xdr:colOff>
      <xdr:row>4</xdr:row>
      <xdr:rowOff>140805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557239C-6DC3-AF9D-57DC-64C89C50775B}"/>
            </a:ext>
          </a:extLst>
        </xdr:cNvPr>
        <xdr:cNvSpPr txBox="1"/>
      </xdr:nvSpPr>
      <xdr:spPr>
        <a:xfrm>
          <a:off x="5425109" y="1283804"/>
          <a:ext cx="364434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원</a:t>
          </a:r>
        </a:p>
      </xdr:txBody>
    </xdr:sp>
    <xdr:clientData/>
  </xdr:twoCellAnchor>
  <xdr:twoCellAnchor>
    <xdr:from>
      <xdr:col>10</xdr:col>
      <xdr:colOff>173936</xdr:colOff>
      <xdr:row>2</xdr:row>
      <xdr:rowOff>24848</xdr:rowOff>
    </xdr:from>
    <xdr:to>
      <xdr:col>14</xdr:col>
      <xdr:colOff>215348</xdr:colOff>
      <xdr:row>5</xdr:row>
      <xdr:rowOff>0</xdr:rowOff>
    </xdr:to>
    <xdr:sp macro="" textlink="피벗!M3">
      <xdr:nvSpPr>
        <xdr:cNvPr id="25" name="TextBox 24">
          <a:extLst>
            <a:ext uri="{FF2B5EF4-FFF2-40B4-BE49-F238E27FC236}">
              <a16:creationId xmlns:a16="http://schemas.microsoft.com/office/drawing/2014/main" id="{48418B1F-65E7-16F4-7A72-528E2E7B30AE}"/>
            </a:ext>
          </a:extLst>
        </xdr:cNvPr>
        <xdr:cNvSpPr txBox="1"/>
      </xdr:nvSpPr>
      <xdr:spPr>
        <a:xfrm>
          <a:off x="6303066" y="1151283"/>
          <a:ext cx="2493065" cy="472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D25EAAF5-8D14-49CC-A3FD-A09F964C9A62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20,128,000</a:t>
          </a:fld>
          <a:endParaRPr lang="ko-KR" altLang="en-US" sz="2400" b="1">
            <a:solidFill>
              <a:schemeClr val="bg1"/>
            </a:solidFill>
            <a:latin typeface="공체 Medium" panose="00000600000000000000" pitchFamily="2" charset="-127"/>
            <a:ea typeface="공체 Medium" panose="00000600000000000000" pitchFamily="2" charset="-127"/>
          </a:endParaRPr>
        </a:p>
      </xdr:txBody>
    </xdr:sp>
    <xdr:clientData/>
  </xdr:twoCellAnchor>
  <xdr:twoCellAnchor>
    <xdr:from>
      <xdr:col>14</xdr:col>
      <xdr:colOff>190500</xdr:colOff>
      <xdr:row>2</xdr:row>
      <xdr:rowOff>157369</xdr:rowOff>
    </xdr:from>
    <xdr:to>
      <xdr:col>14</xdr:col>
      <xdr:colOff>554934</xdr:colOff>
      <xdr:row>4</xdr:row>
      <xdr:rowOff>140805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C714911-914D-B9B7-9C17-C3BCCEF1B2E1}"/>
            </a:ext>
          </a:extLst>
        </xdr:cNvPr>
        <xdr:cNvSpPr txBox="1"/>
      </xdr:nvSpPr>
      <xdr:spPr>
        <a:xfrm>
          <a:off x="8771283" y="1283804"/>
          <a:ext cx="364434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원</a:t>
          </a:r>
        </a:p>
      </xdr:txBody>
    </xdr:sp>
    <xdr:clientData/>
  </xdr:twoCellAnchor>
  <xdr:twoCellAnchor>
    <xdr:from>
      <xdr:col>15</xdr:col>
      <xdr:colOff>422413</xdr:colOff>
      <xdr:row>2</xdr:row>
      <xdr:rowOff>24848</xdr:rowOff>
    </xdr:from>
    <xdr:to>
      <xdr:col>19</xdr:col>
      <xdr:colOff>463826</xdr:colOff>
      <xdr:row>5</xdr:row>
      <xdr:rowOff>0</xdr:rowOff>
    </xdr:to>
    <xdr:sp macro="" textlink="피벗!N3">
      <xdr:nvSpPr>
        <xdr:cNvPr id="32" name="TextBox 31">
          <a:extLst>
            <a:ext uri="{FF2B5EF4-FFF2-40B4-BE49-F238E27FC236}">
              <a16:creationId xmlns:a16="http://schemas.microsoft.com/office/drawing/2014/main" id="{D4C72F8B-A904-B2D8-D27A-F4298390D86D}"/>
            </a:ext>
          </a:extLst>
        </xdr:cNvPr>
        <xdr:cNvSpPr txBox="1"/>
      </xdr:nvSpPr>
      <xdr:spPr>
        <a:xfrm>
          <a:off x="9616109" y="1151283"/>
          <a:ext cx="2493065" cy="472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9BCD419-D8F5-4426-BB5D-5B0E56E875C1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r"/>
            <a:t>19,985,790</a:t>
          </a:fld>
          <a:endParaRPr lang="ko-KR" altLang="en-US" sz="2400" b="1">
            <a:solidFill>
              <a:schemeClr val="bg1"/>
            </a:solidFill>
            <a:latin typeface="공체 Medium" panose="00000600000000000000" pitchFamily="2" charset="-127"/>
            <a:ea typeface="공체 Medium" panose="00000600000000000000" pitchFamily="2" charset="-127"/>
          </a:endParaRPr>
        </a:p>
      </xdr:txBody>
    </xdr:sp>
    <xdr:clientData/>
  </xdr:twoCellAnchor>
  <xdr:twoCellAnchor>
    <xdr:from>
      <xdr:col>19</xdr:col>
      <xdr:colOff>438978</xdr:colOff>
      <xdr:row>2</xdr:row>
      <xdr:rowOff>157369</xdr:rowOff>
    </xdr:from>
    <xdr:to>
      <xdr:col>20</xdr:col>
      <xdr:colOff>190499</xdr:colOff>
      <xdr:row>4</xdr:row>
      <xdr:rowOff>140805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D5B234D-5675-23E7-D6AA-5856AB64E9C9}"/>
            </a:ext>
          </a:extLst>
        </xdr:cNvPr>
        <xdr:cNvSpPr txBox="1"/>
      </xdr:nvSpPr>
      <xdr:spPr>
        <a:xfrm>
          <a:off x="12084326" y="1283804"/>
          <a:ext cx="364434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원</a:t>
          </a:r>
        </a:p>
      </xdr:txBody>
    </xdr:sp>
    <xdr:clientData/>
  </xdr:twoCellAnchor>
  <xdr:twoCellAnchor>
    <xdr:from>
      <xdr:col>12</xdr:col>
      <xdr:colOff>318444</xdr:colOff>
      <xdr:row>0</xdr:row>
      <xdr:rowOff>939204</xdr:rowOff>
    </xdr:from>
    <xdr:to>
      <xdr:col>14</xdr:col>
      <xdr:colOff>210770</xdr:colOff>
      <xdr:row>2</xdr:row>
      <xdr:rowOff>77811</xdr:rowOff>
    </xdr:to>
    <xdr:sp macro="" textlink="피벗!M4">
      <xdr:nvSpPr>
        <xdr:cNvPr id="34" name="TextBox 33">
          <a:extLst>
            <a:ext uri="{FF2B5EF4-FFF2-40B4-BE49-F238E27FC236}">
              <a16:creationId xmlns:a16="http://schemas.microsoft.com/office/drawing/2014/main" id="{BF31EC92-C508-0A07-8EB6-A1A5A6B4284F}"/>
            </a:ext>
          </a:extLst>
        </xdr:cNvPr>
        <xdr:cNvSpPr txBox="1"/>
      </xdr:nvSpPr>
      <xdr:spPr>
        <a:xfrm>
          <a:off x="7657707" y="939204"/>
          <a:ext cx="1115537" cy="261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F49A0D43-08AA-459F-BDE0-F61F4EB78579}" type="TxLink">
            <a:rPr lang="en-US" altLang="en-US" sz="1200" b="1" i="0" u="none" strike="noStrike">
              <a:solidFill>
                <a:srgbClr val="FFC000"/>
              </a:solidFill>
              <a:latin typeface="맑은 고딕"/>
              <a:ea typeface="맑은 고딕"/>
            </a:rPr>
            <a:pPr algn="r"/>
            <a:t>4,025,600</a:t>
          </a:fld>
          <a:endParaRPr lang="ko-KR" altLang="en-US" sz="1800" b="1">
            <a:solidFill>
              <a:srgbClr val="FFC000"/>
            </a:solidFill>
            <a:latin typeface="공체 Medium" panose="00000600000000000000" pitchFamily="2" charset="-127"/>
            <a:ea typeface="공체 Medium" panose="00000600000000000000" pitchFamily="2" charset="-127"/>
          </a:endParaRPr>
        </a:p>
      </xdr:txBody>
    </xdr:sp>
    <xdr:clientData/>
  </xdr:twoCellAnchor>
  <xdr:twoCellAnchor>
    <xdr:from>
      <xdr:col>17</xdr:col>
      <xdr:colOff>546652</xdr:colOff>
      <xdr:row>0</xdr:row>
      <xdr:rowOff>950975</xdr:rowOff>
    </xdr:from>
    <xdr:to>
      <xdr:col>19</xdr:col>
      <xdr:colOff>438978</xdr:colOff>
      <xdr:row>2</xdr:row>
      <xdr:rowOff>89582</xdr:rowOff>
    </xdr:to>
    <xdr:sp macro="" textlink="피벗!N4">
      <xdr:nvSpPr>
        <xdr:cNvPr id="41" name="TextBox 40">
          <a:extLst>
            <a:ext uri="{FF2B5EF4-FFF2-40B4-BE49-F238E27FC236}">
              <a16:creationId xmlns:a16="http://schemas.microsoft.com/office/drawing/2014/main" id="{1B960F1D-C0A2-4B02-B84B-66AF15DEB002}"/>
            </a:ext>
          </a:extLst>
        </xdr:cNvPr>
        <xdr:cNvSpPr txBox="1"/>
      </xdr:nvSpPr>
      <xdr:spPr>
        <a:xfrm>
          <a:off x="10943941" y="950975"/>
          <a:ext cx="1115537" cy="261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0D0C12E6-B2BE-44C6-8E3A-02D718C8C40C}" type="TxLink">
            <a:rPr lang="en-US" altLang="en-US" sz="1200" b="1" i="0" u="none" strike="noStrike">
              <a:solidFill>
                <a:srgbClr val="FFC000"/>
              </a:solidFill>
              <a:latin typeface="맑은 고딕"/>
              <a:ea typeface="맑은 고딕"/>
            </a:rPr>
            <a:pPr algn="r"/>
            <a:t>3,997,158</a:t>
          </a:fld>
          <a:endParaRPr lang="ko-KR" altLang="en-US" sz="1200" b="1">
            <a:solidFill>
              <a:srgbClr val="FFC000"/>
            </a:solidFill>
            <a:latin typeface="공체 Medium" panose="00000600000000000000" pitchFamily="2" charset="-127"/>
            <a:ea typeface="공체 Medium" panose="00000600000000000000" pitchFamily="2" charset="-127"/>
          </a:endParaRPr>
        </a:p>
      </xdr:txBody>
    </xdr:sp>
    <xdr:clientData/>
  </xdr:twoCellAnchor>
  <xdr:twoCellAnchor>
    <xdr:from>
      <xdr:col>12</xdr:col>
      <xdr:colOff>125329</xdr:colOff>
      <xdr:row>1</xdr:row>
      <xdr:rowOff>40106</xdr:rowOff>
    </xdr:from>
    <xdr:to>
      <xdr:col>13</xdr:col>
      <xdr:colOff>27899</xdr:colOff>
      <xdr:row>2</xdr:row>
      <xdr:rowOff>84351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4B61728-4306-1821-2484-D181E5FE2577}"/>
            </a:ext>
          </a:extLst>
        </xdr:cNvPr>
        <xdr:cNvSpPr txBox="1"/>
      </xdr:nvSpPr>
      <xdr:spPr>
        <a:xfrm>
          <a:off x="7464592" y="1002632"/>
          <a:ext cx="514175" cy="204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ko-KR" altLang="en-US" sz="800">
              <a:solidFill>
                <a:srgbClr val="FFC000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월평균 </a:t>
          </a:r>
          <a:r>
            <a:rPr lang="en-US" altLang="ko-KR" sz="800">
              <a:solidFill>
                <a:srgbClr val="FFC000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: </a:t>
          </a:r>
          <a:endParaRPr lang="ko-KR" altLang="en-US" sz="800">
            <a:solidFill>
              <a:srgbClr val="FFC000"/>
            </a:solidFill>
            <a:latin typeface="공체 Medium" panose="00000600000000000000" pitchFamily="2" charset="-127"/>
            <a:ea typeface="공체 Medium" panose="00000600000000000000" pitchFamily="2" charset="-127"/>
          </a:endParaRPr>
        </a:p>
      </xdr:txBody>
    </xdr:sp>
    <xdr:clientData/>
  </xdr:twoCellAnchor>
  <xdr:twoCellAnchor>
    <xdr:from>
      <xdr:col>17</xdr:col>
      <xdr:colOff>345907</xdr:colOff>
      <xdr:row>1</xdr:row>
      <xdr:rowOff>40106</xdr:rowOff>
    </xdr:from>
    <xdr:to>
      <xdr:col>18</xdr:col>
      <xdr:colOff>248476</xdr:colOff>
      <xdr:row>2</xdr:row>
      <xdr:rowOff>84351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A6CF3BC-9C8D-E8AD-9441-37F0793E1348}"/>
            </a:ext>
          </a:extLst>
        </xdr:cNvPr>
        <xdr:cNvSpPr txBox="1"/>
      </xdr:nvSpPr>
      <xdr:spPr>
        <a:xfrm>
          <a:off x="10743196" y="1002632"/>
          <a:ext cx="514175" cy="204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ko-KR" altLang="en-US" sz="800">
              <a:solidFill>
                <a:srgbClr val="FFC000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월평균 </a:t>
          </a:r>
          <a:r>
            <a:rPr lang="en-US" altLang="ko-KR" sz="800">
              <a:solidFill>
                <a:srgbClr val="FFC000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: </a:t>
          </a:r>
          <a:endParaRPr lang="ko-KR" altLang="en-US" sz="800">
            <a:solidFill>
              <a:srgbClr val="FFC000"/>
            </a:solidFill>
            <a:latin typeface="공체 Medium" panose="00000600000000000000" pitchFamily="2" charset="-127"/>
            <a:ea typeface="공체 Medium" panose="00000600000000000000" pitchFamily="2" charset="-127"/>
          </a:endParaRPr>
        </a:p>
      </xdr:txBody>
    </xdr:sp>
    <xdr:clientData/>
  </xdr:twoCellAnchor>
  <xdr:twoCellAnchor>
    <xdr:from>
      <xdr:col>5</xdr:col>
      <xdr:colOff>57207</xdr:colOff>
      <xdr:row>6</xdr:row>
      <xdr:rowOff>49693</xdr:rowOff>
    </xdr:from>
    <xdr:to>
      <xdr:col>7</xdr:col>
      <xdr:colOff>405851</xdr:colOff>
      <xdr:row>8</xdr:row>
      <xdr:rowOff>33128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D170BFF-9364-C956-0519-9604A7BC4FD8}"/>
            </a:ext>
          </a:extLst>
        </xdr:cNvPr>
        <xdr:cNvSpPr txBox="1"/>
      </xdr:nvSpPr>
      <xdr:spPr>
        <a:xfrm>
          <a:off x="3121772" y="1838736"/>
          <a:ext cx="1574470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대분류별 지출 상세</a:t>
          </a:r>
        </a:p>
      </xdr:txBody>
    </xdr:sp>
    <xdr:clientData/>
  </xdr:twoCellAnchor>
  <xdr:twoCellAnchor>
    <xdr:from>
      <xdr:col>13</xdr:col>
      <xdr:colOff>90338</xdr:colOff>
      <xdr:row>6</xdr:row>
      <xdr:rowOff>41410</xdr:rowOff>
    </xdr:from>
    <xdr:to>
      <xdr:col>15</xdr:col>
      <xdr:colOff>438982</xdr:colOff>
      <xdr:row>8</xdr:row>
      <xdr:rowOff>24845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8ABE996-EE81-4671-2898-973AFD409647}"/>
            </a:ext>
          </a:extLst>
        </xdr:cNvPr>
        <xdr:cNvSpPr txBox="1"/>
      </xdr:nvSpPr>
      <xdr:spPr>
        <a:xfrm>
          <a:off x="8058208" y="1830453"/>
          <a:ext cx="1574470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상위 </a:t>
          </a:r>
          <a:r>
            <a:rPr lang="en-US" altLang="ko-KR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10</a:t>
          </a:r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개 거래항목</a:t>
          </a:r>
        </a:p>
      </xdr:txBody>
    </xdr:sp>
    <xdr:clientData/>
  </xdr:twoCellAnchor>
  <xdr:twoCellAnchor>
    <xdr:from>
      <xdr:col>13</xdr:col>
      <xdr:colOff>90337</xdr:colOff>
      <xdr:row>23</xdr:row>
      <xdr:rowOff>16561</xdr:rowOff>
    </xdr:from>
    <xdr:to>
      <xdr:col>15</xdr:col>
      <xdr:colOff>438981</xdr:colOff>
      <xdr:row>24</xdr:row>
      <xdr:rowOff>165648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9146FB6-6C7B-9D33-19B8-BA3C49D80EEC}"/>
            </a:ext>
          </a:extLst>
        </xdr:cNvPr>
        <xdr:cNvSpPr txBox="1"/>
      </xdr:nvSpPr>
      <xdr:spPr>
        <a:xfrm>
          <a:off x="8058207" y="4621691"/>
          <a:ext cx="1574470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시간대별 지출 현황</a:t>
          </a:r>
        </a:p>
      </xdr:txBody>
    </xdr:sp>
    <xdr:clientData/>
  </xdr:twoCellAnchor>
  <xdr:twoCellAnchor>
    <xdr:from>
      <xdr:col>5</xdr:col>
      <xdr:colOff>48924</xdr:colOff>
      <xdr:row>23</xdr:row>
      <xdr:rowOff>24844</xdr:rowOff>
    </xdr:from>
    <xdr:to>
      <xdr:col>7</xdr:col>
      <xdr:colOff>397568</xdr:colOff>
      <xdr:row>25</xdr:row>
      <xdr:rowOff>8279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202ACA9-D60E-C139-9B88-187E983B0380}"/>
            </a:ext>
          </a:extLst>
        </xdr:cNvPr>
        <xdr:cNvSpPr txBox="1"/>
      </xdr:nvSpPr>
      <xdr:spPr>
        <a:xfrm>
          <a:off x="3113489" y="4629974"/>
          <a:ext cx="1574470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월별 지출</a:t>
          </a:r>
          <a:r>
            <a:rPr lang="en-US" altLang="ko-KR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/</a:t>
          </a:r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수입 현황</a:t>
          </a:r>
        </a:p>
      </xdr:txBody>
    </xdr:sp>
    <xdr:clientData/>
  </xdr:twoCellAnchor>
  <xdr:twoCellAnchor>
    <xdr:from>
      <xdr:col>21</xdr:col>
      <xdr:colOff>214576</xdr:colOff>
      <xdr:row>1</xdr:row>
      <xdr:rowOff>16561</xdr:rowOff>
    </xdr:from>
    <xdr:to>
      <xdr:col>23</xdr:col>
      <xdr:colOff>563220</xdr:colOff>
      <xdr:row>2</xdr:row>
      <xdr:rowOff>165649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540C3DE-5B39-C30A-D6ED-92C621963DA8}"/>
            </a:ext>
          </a:extLst>
        </xdr:cNvPr>
        <xdr:cNvSpPr txBox="1"/>
      </xdr:nvSpPr>
      <xdr:spPr>
        <a:xfrm>
          <a:off x="13085750" y="977344"/>
          <a:ext cx="1574470" cy="314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최근 </a:t>
          </a:r>
          <a:r>
            <a:rPr lang="en-US" altLang="ko-KR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30</a:t>
          </a:r>
          <a:r>
            <a:rPr lang="ko-KR" altLang="en-US" sz="1200">
              <a:solidFill>
                <a:schemeClr val="bg1"/>
              </a:solidFill>
              <a:latin typeface="공체 Medium" panose="00000600000000000000" pitchFamily="2" charset="-127"/>
              <a:ea typeface="공체 Medium" panose="00000600000000000000" pitchFamily="2" charset="-127"/>
            </a:rPr>
            <a:t>개 거래내역</a:t>
          </a:r>
        </a:p>
      </xdr:txBody>
    </xdr:sp>
    <xdr:clientData/>
  </xdr:twoCellAnchor>
  <xdr:twoCellAnchor editAs="oneCell">
    <xdr:from>
      <xdr:col>4</xdr:col>
      <xdr:colOff>463826</xdr:colOff>
      <xdr:row>23</xdr:row>
      <xdr:rowOff>57977</xdr:rowOff>
    </xdr:from>
    <xdr:to>
      <xdr:col>5</xdr:col>
      <xdr:colOff>91108</xdr:colOff>
      <xdr:row>24</xdr:row>
      <xdr:rowOff>132519</xdr:rowOff>
    </xdr:to>
    <xdr:pic>
      <xdr:nvPicPr>
        <xdr:cNvPr id="8" name="Graphic 7" descr="Daily calendar with solid fill">
          <a:extLst>
            <a:ext uri="{FF2B5EF4-FFF2-40B4-BE49-F238E27FC236}">
              <a16:creationId xmlns:a16="http://schemas.microsoft.com/office/drawing/2014/main" id="{4A67E854-429C-797A-9346-A61C9C37E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915478" y="4663107"/>
          <a:ext cx="240195" cy="240195"/>
        </a:xfrm>
        <a:prstGeom prst="rect">
          <a:avLst/>
        </a:prstGeom>
      </xdr:spPr>
    </xdr:pic>
    <xdr:clientData/>
  </xdr:twoCellAnchor>
  <xdr:twoCellAnchor editAs="oneCell">
    <xdr:from>
      <xdr:col>12</xdr:col>
      <xdr:colOff>514435</xdr:colOff>
      <xdr:row>23</xdr:row>
      <xdr:rowOff>75459</xdr:rowOff>
    </xdr:from>
    <xdr:to>
      <xdr:col>13</xdr:col>
      <xdr:colOff>124240</xdr:colOff>
      <xdr:row>24</xdr:row>
      <xdr:rowOff>132524</xdr:rowOff>
    </xdr:to>
    <xdr:pic>
      <xdr:nvPicPr>
        <xdr:cNvPr id="10" name="Graphic 9" descr="Clock with solid fill">
          <a:extLst>
            <a:ext uri="{FF2B5EF4-FFF2-40B4-BE49-F238E27FC236}">
              <a16:creationId xmlns:a16="http://schemas.microsoft.com/office/drawing/2014/main" id="{FD613FC6-7208-1767-C4AB-9500D4847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869392" y="4680589"/>
          <a:ext cx="222718" cy="222718"/>
        </a:xfrm>
        <a:prstGeom prst="rect">
          <a:avLst/>
        </a:prstGeom>
      </xdr:spPr>
    </xdr:pic>
    <xdr:clientData/>
  </xdr:twoCellAnchor>
  <xdr:twoCellAnchor editAs="oneCell">
    <xdr:from>
      <xdr:col>12</xdr:col>
      <xdr:colOff>515349</xdr:colOff>
      <xdr:row>6</xdr:row>
      <xdr:rowOff>84654</xdr:rowOff>
    </xdr:from>
    <xdr:to>
      <xdr:col>13</xdr:col>
      <xdr:colOff>132523</xdr:colOff>
      <xdr:row>7</xdr:row>
      <xdr:rowOff>149088</xdr:rowOff>
    </xdr:to>
    <xdr:pic>
      <xdr:nvPicPr>
        <xdr:cNvPr id="36" name="Graphic 35" descr="Clipboard Checked with solid fill">
          <a:extLst>
            <a:ext uri="{FF2B5EF4-FFF2-40B4-BE49-F238E27FC236}">
              <a16:creationId xmlns:a16="http://schemas.microsoft.com/office/drawing/2014/main" id="{8EBC5330-808A-425A-8BF2-245532AA3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870306" y="1873697"/>
          <a:ext cx="230087" cy="230087"/>
        </a:xfrm>
        <a:prstGeom prst="rect">
          <a:avLst/>
        </a:prstGeom>
      </xdr:spPr>
    </xdr:pic>
    <xdr:clientData/>
  </xdr:twoCellAnchor>
  <xdr:twoCellAnchor editAs="oneCell">
    <xdr:from>
      <xdr:col>4</xdr:col>
      <xdr:colOff>467481</xdr:colOff>
      <xdr:row>6</xdr:row>
      <xdr:rowOff>94762</xdr:rowOff>
    </xdr:from>
    <xdr:to>
      <xdr:col>5</xdr:col>
      <xdr:colOff>91111</xdr:colOff>
      <xdr:row>8</xdr:row>
      <xdr:rowOff>0</xdr:rowOff>
    </xdr:to>
    <xdr:pic>
      <xdr:nvPicPr>
        <xdr:cNvPr id="45" name="Graphic 44" descr="Coins with solid fill">
          <a:extLst>
            <a:ext uri="{FF2B5EF4-FFF2-40B4-BE49-F238E27FC236}">
              <a16:creationId xmlns:a16="http://schemas.microsoft.com/office/drawing/2014/main" id="{DD60DA28-9BC6-3B71-77C7-6BF79833A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19133" y="1883805"/>
          <a:ext cx="236543" cy="236543"/>
        </a:xfrm>
        <a:prstGeom prst="rect">
          <a:avLst/>
        </a:prstGeom>
      </xdr:spPr>
    </xdr:pic>
    <xdr:clientData/>
  </xdr:twoCellAnchor>
  <xdr:twoCellAnchor editAs="oneCell">
    <xdr:from>
      <xdr:col>20</xdr:col>
      <xdr:colOff>538371</xdr:colOff>
      <xdr:row>1</xdr:row>
      <xdr:rowOff>8283</xdr:rowOff>
    </xdr:from>
    <xdr:to>
      <xdr:col>21</xdr:col>
      <xdr:colOff>231915</xdr:colOff>
      <xdr:row>2</xdr:row>
      <xdr:rowOff>149088</xdr:rowOff>
    </xdr:to>
    <xdr:pic>
      <xdr:nvPicPr>
        <xdr:cNvPr id="62" name="Graphic 61" descr="Clipboard with solid fill">
          <a:extLst>
            <a:ext uri="{FF2B5EF4-FFF2-40B4-BE49-F238E27FC236}">
              <a16:creationId xmlns:a16="http://schemas.microsoft.com/office/drawing/2014/main" id="{6E3F4476-63B8-DA5B-04C6-54240705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2796632" y="969066"/>
          <a:ext cx="306457" cy="306457"/>
        </a:xfrm>
        <a:prstGeom prst="rect">
          <a:avLst/>
        </a:prstGeom>
      </xdr:spPr>
    </xdr:pic>
    <xdr:clientData/>
  </xdr:twoCellAnchor>
  <xdr:twoCellAnchor editAs="oneCell">
    <xdr:from>
      <xdr:col>0</xdr:col>
      <xdr:colOff>211207</xdr:colOff>
      <xdr:row>23</xdr:row>
      <xdr:rowOff>157370</xdr:rowOff>
    </xdr:from>
    <xdr:to>
      <xdr:col>3</xdr:col>
      <xdr:colOff>604468</xdr:colOff>
      <xdr:row>38</xdr:row>
      <xdr:rowOff>53837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5" name="계정과목">
              <a:extLst>
                <a:ext uri="{FF2B5EF4-FFF2-40B4-BE49-F238E27FC236}">
                  <a16:creationId xmlns:a16="http://schemas.microsoft.com/office/drawing/2014/main" id="{3C547127-26BD-42FB-A975-1F4F71C671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계정과목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207" y="4762500"/>
              <a:ext cx="22320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211207</xdr:colOff>
      <xdr:row>12</xdr:row>
      <xdr:rowOff>45553</xdr:rowOff>
    </xdr:from>
    <xdr:to>
      <xdr:col>3</xdr:col>
      <xdr:colOff>604468</xdr:colOff>
      <xdr:row>22</xdr:row>
      <xdr:rowOff>157370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대분류">
              <a:extLst>
                <a:ext uri="{FF2B5EF4-FFF2-40B4-BE49-F238E27FC236}">
                  <a16:creationId xmlns:a16="http://schemas.microsoft.com/office/drawing/2014/main" id="{0B8CAA24-0960-489E-9B27-DB3377C4D2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대분류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207" y="2828510"/>
              <a:ext cx="2232000" cy="1768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211207</xdr:colOff>
      <xdr:row>5</xdr:row>
      <xdr:rowOff>140804</xdr:rowOff>
    </xdr:from>
    <xdr:to>
      <xdr:col>3</xdr:col>
      <xdr:colOff>604468</xdr:colOff>
      <xdr:row>11</xdr:row>
      <xdr:rowOff>157370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7" name="개월(거래일자)">
              <a:extLst>
                <a:ext uri="{FF2B5EF4-FFF2-40B4-BE49-F238E27FC236}">
                  <a16:creationId xmlns:a16="http://schemas.microsoft.com/office/drawing/2014/main" id="{4E9166B1-BD89-4613-89E3-9E86899FA2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개월(거래일자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207" y="1764195"/>
              <a:ext cx="2232000" cy="10104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211207</xdr:colOff>
      <xdr:row>0</xdr:row>
      <xdr:rowOff>832401</xdr:rowOff>
    </xdr:from>
    <xdr:to>
      <xdr:col>3</xdr:col>
      <xdr:colOff>604468</xdr:colOff>
      <xdr:row>5</xdr:row>
      <xdr:rowOff>99391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8" name="년(거래일자)">
              <a:extLst>
                <a:ext uri="{FF2B5EF4-FFF2-40B4-BE49-F238E27FC236}">
                  <a16:creationId xmlns:a16="http://schemas.microsoft.com/office/drawing/2014/main" id="{A05687ED-C0A3-40B1-B927-1981A8D5F0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년(거래일자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207" y="832401"/>
              <a:ext cx="2232000" cy="8903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오빠두엑셀" refreshedDate="44818.927940162037" createdVersion="8" refreshedVersion="8" minRefreshableVersion="3" recordCount="445" xr:uid="{79D2C67F-87BC-4A23-8AD5-5145CF7A1AF1}">
  <cacheSource type="worksheet">
    <worksheetSource name="표3"/>
  </cacheSource>
  <cacheFields count="16">
    <cacheField name="거래일자" numFmtId="14">
      <sharedItems containsSemiMixedTypes="0" containsNonDate="0" containsDate="1" containsString="0" minDate="2022-01-03T00:00:00" maxDate="2022-06-01T00:00:00" count="135"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5T00:00:00"/>
        <d v="2022-04-16T00:00:00"/>
        <d v="2022-04-17T00:00:00"/>
        <d v="2022-04-18T00:00:00"/>
        <d v="2022-04-19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8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5T00:00:00"/>
        <d v="2022-05-26T00:00:00"/>
        <d v="2022-05-30T00:00:00"/>
        <d v="2022-05-31T00:00:00"/>
      </sharedItems>
      <fieldGroup par="12"/>
    </cacheField>
    <cacheField name="거래시간" numFmtId="0">
      <sharedItems containsDate="1" containsMixedTypes="1" minDate="1899-12-30T10:02:20" maxDate="1899-12-30T17:56:06"/>
    </cacheField>
    <cacheField name="적요" numFmtId="0">
      <sharedItems/>
    </cacheField>
    <cacheField name="출금" numFmtId="176">
      <sharedItems containsString="0" containsBlank="1" containsNumber="1" containsInteger="1" minValue="100" maxValue="5562000"/>
    </cacheField>
    <cacheField name="입금" numFmtId="176">
      <sharedItems containsString="0" containsBlank="1" containsNumber="1" containsInteger="1" minValue="116190" maxValue="5562000"/>
    </cacheField>
    <cacheField name="내용" numFmtId="0">
      <sharedItems count="98">
        <s v="GS25 편의점"/>
        <s v="멕시카나치킨"/>
        <s v="스크린골프장"/>
        <s v="육쌈냉면"/>
        <s v="주식배당금"/>
        <s v="임실치즈피자"/>
        <s v="체크카드-교통"/>
        <s v="왕돈까쓰&amp;왕냉면"/>
        <s v="신호칼국수"/>
        <s v="카카오(기프티콘)"/>
        <s v="유튜브멤버십"/>
        <s v="한솥도시락"/>
        <s v="맥도날드"/>
        <s v="도시가스"/>
        <s v="롯데리아"/>
        <s v="홍콩반점"/>
        <s v="제육대가"/>
        <s v="라와마라탕"/>
        <s v="이마트24"/>
        <s v="인터넷상거래"/>
        <s v="파리바게뜨"/>
        <s v="우체국"/>
        <s v="다이소"/>
        <s v="가스파스"/>
        <s v="할리스커피"/>
        <s v="위워크"/>
        <s v="커먼스테이크"/>
        <s v="한마음약국"/>
        <s v="본죽"/>
        <s v="쿠팡"/>
        <s v="본가설렁탕"/>
        <s v="갓파스시"/>
        <s v="MICROSOFT"/>
        <s v="요기요멤버십"/>
        <s v="이니스프리"/>
        <s v="카페24"/>
        <s v="씨유편의점"/>
        <s v="달떡볶이"/>
        <s v="오빠두엑셀"/>
        <s v="엑셀특별적금"/>
        <s v="연세의원"/>
        <s v="참사랑약국"/>
        <s v="자이아파트_관리비"/>
        <s v="자이아파트_월세"/>
        <s v="삼성생명"/>
        <s v="기아대책기부금"/>
        <s v="호식이두마리치킨"/>
        <s v="SKT통신비"/>
        <s v="컵밥의고수"/>
        <s v="대박감자탕"/>
        <s v="푸딩마라탕"/>
        <s v="스타벅스"/>
        <s v="미스터스시"/>
        <s v="피자헛"/>
        <s v="국민건강보험"/>
        <s v="핫파스타"/>
        <s v="스크린야구"/>
        <s v="배트맨당구장"/>
        <s v="교촌치킨"/>
        <s v="본가"/>
        <s v="중화반점"/>
        <s v="청춘닭꼬치"/>
        <s v="내맘의츄러스"/>
        <s v="효성"/>
        <s v="이장돈까스"/>
        <s v="대박마라탕"/>
        <s v="웅이네닭발"/>
        <s v="학교앞분식"/>
        <s v="프레도피자"/>
        <s v="11번가"/>
        <s v="ZARA"/>
        <s v="적금만기"/>
        <s v="예금가입"/>
        <s v="한마음슈퍼"/>
        <s v="하오탕우육면"/>
        <s v="고기한상"/>
        <s v="풀무원"/>
        <s v="우리 약국"/>
        <s v="롤링파스타"/>
        <s v="투썸플레이스"/>
        <s v="왕국해물찜"/>
        <s v="엔젤리너스"/>
        <s v="노랑통닭"/>
        <s v="엔제리너스"/>
        <s v="늘배움학원"/>
        <s v="모나크펍"/>
        <s v="티머니"/>
        <s v="직화삼겹살"/>
        <s v="DROPBOX"/>
        <s v="취향저격탕수육"/>
        <s v="싱싱해물탕"/>
        <s v="등촌칼국수"/>
        <s v="아웃백딜리버리"/>
        <s v="범용인증수수료"/>
        <s v="복자수산"/>
        <s v="베트남쌀국수"/>
        <s v="중화마을"/>
        <s v="고기장인"/>
      </sharedItems>
    </cacheField>
    <cacheField name="잔액" numFmtId="176">
      <sharedItems containsSemiMixedTypes="0" containsString="0" containsNumber="1" containsInteger="1" minValue="13000" maxValue="6547600"/>
    </cacheField>
    <cacheField name="계정과목" numFmtId="0">
      <sharedItems count="29">
        <s v="기타식료품"/>
        <s v="주식"/>
        <s v="스포츠"/>
        <s v="금융이익"/>
        <s v="교통비"/>
        <s v="선물"/>
        <s v="구독서비스"/>
        <s v="도시가스"/>
        <s v="기타생활비"/>
        <s v="생활용품"/>
        <s v="간식"/>
        <s v="커피"/>
        <s v="사무실비"/>
        <s v="약"/>
        <s v="업무관련"/>
        <s v="화장품"/>
        <s v="급여"/>
        <s v="예적금"/>
        <s v="진료비"/>
        <s v="월세"/>
        <s v="생명보험"/>
        <s v="기부금"/>
        <s v="휴대폰"/>
        <s v="건강보험"/>
        <s v="의류구매"/>
        <s v="건강식품"/>
        <s v="학원비"/>
        <s v="" u="1"/>
        <s v="전자/가전제품" u="1"/>
      </sharedItems>
    </cacheField>
    <cacheField name="대분류" numFmtId="0">
      <sharedItems count="14">
        <s v="식비"/>
        <s v="문화생활비"/>
        <s v="수입"/>
        <s v="교통비"/>
        <s v="경조사비"/>
        <s v="생활비"/>
        <s v="주거/공과금"/>
        <s v="사업운영비"/>
        <s v="의료비"/>
        <s v="투자비"/>
        <s v="보험비"/>
        <s v="통신비"/>
        <s v="교육비"/>
        <e v="#N/A" u="1"/>
      </sharedItems>
    </cacheField>
    <cacheField name="거래일" numFmtId="14">
      <sharedItems containsSemiMixedTypes="0" containsNonDate="0" containsDate="1" containsString="0" minDate="2022-01-03T00:00:00" maxDate="2022-06-01T00:00:00" count="135"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5T00:00:00"/>
        <d v="2022-04-16T00:00:00"/>
        <d v="2022-04-17T00:00:00"/>
        <d v="2022-04-18T00:00:00"/>
        <d v="2022-04-19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8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5T00:00:00"/>
        <d v="2022-05-26T00:00:00"/>
        <d v="2022-05-30T00:00:00"/>
        <d v="2022-05-31T00:00:00"/>
      </sharedItems>
    </cacheField>
    <cacheField name="시간대" numFmtId="0">
      <sharedItems containsSemiMixedTypes="0" containsString="0" containsNumber="1" containsInteger="1" minValue="0" maxValue="23" count="23">
        <n v="0"/>
        <n v="16"/>
        <n v="20"/>
        <n v="18"/>
        <n v="19"/>
        <n v="9"/>
        <n v="21"/>
        <n v="2"/>
        <n v="8"/>
        <n v="15"/>
        <n v="23"/>
        <n v="22"/>
        <n v="17"/>
        <n v="3"/>
        <n v="14"/>
        <n v="12"/>
        <n v="10"/>
        <n v="4"/>
        <n v="5"/>
        <n v="7"/>
        <n v="13"/>
        <n v="11"/>
        <n v="1"/>
      </sharedItems>
    </cacheField>
    <cacheField name="개월(거래일자)" numFmtId="0" databaseField="0">
      <fieldGroup base="0">
        <rangePr groupBy="months" startDate="2022-01-03T00:00:00" endDate="2022-06-01T00:00:00"/>
        <groupItems count="14">
          <s v="&lt;2022-01-03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2-06-01"/>
        </groupItems>
      </fieldGroup>
    </cacheField>
    <cacheField name="년(거래일자)" numFmtId="0" databaseField="0">
      <fieldGroup base="0">
        <rangePr groupBy="years" startDate="2022-01-03T00:00:00" endDate="2022-06-01T00:00:00"/>
        <groupItems count="3">
          <s v="&lt;2022-01-03"/>
          <s v="2022년"/>
          <s v="&gt;2022-06-01"/>
        </groupItems>
      </fieldGroup>
    </cacheField>
    <cacheField name="필드1" numFmtId="0" formula="입금-출금" databaseField="0"/>
    <cacheField name="입출금" numFmtId="0" formula="입금-출금" databaseField="0"/>
    <cacheField name="입출금합계" numFmtId="0" formula="입금+출금" databaseField="0"/>
  </cacheFields>
  <extLst>
    <ext xmlns:x14="http://schemas.microsoft.com/office/spreadsheetml/2009/9/main" uri="{725AE2AE-9491-48be-B2B4-4EB974FC3084}">
      <x14:pivotCacheDefinition pivotCacheId="17166849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s v="00:35:20"/>
    <s v="카드결제"/>
    <n v="3900"/>
    <m/>
    <x v="0"/>
    <n v="1500000"/>
    <x v="0"/>
    <x v="0"/>
    <x v="0"/>
    <x v="0"/>
  </r>
  <r>
    <x v="0"/>
    <s v="16:03:45"/>
    <s v="계좌이체"/>
    <n v="33900"/>
    <m/>
    <x v="1"/>
    <n v="1466100"/>
    <x v="1"/>
    <x v="0"/>
    <x v="0"/>
    <x v="1"/>
  </r>
  <r>
    <x v="0"/>
    <s v="16:20:10"/>
    <s v="모바일결제"/>
    <n v="56100"/>
    <m/>
    <x v="2"/>
    <n v="1410000"/>
    <x v="2"/>
    <x v="1"/>
    <x v="0"/>
    <x v="1"/>
  </r>
  <r>
    <x v="0"/>
    <s v="20:29:40"/>
    <s v="카드결제"/>
    <n v="6100"/>
    <m/>
    <x v="3"/>
    <n v="1403900"/>
    <x v="1"/>
    <x v="0"/>
    <x v="0"/>
    <x v="2"/>
  </r>
  <r>
    <x v="1"/>
    <s v="00:35:20"/>
    <s v="계좌이체"/>
    <m/>
    <n v="116190"/>
    <x v="4"/>
    <n v="1520090"/>
    <x v="3"/>
    <x v="2"/>
    <x v="1"/>
    <x v="0"/>
  </r>
  <r>
    <x v="1"/>
    <s v="18:49:40"/>
    <s v="계좌이체"/>
    <n v="10900"/>
    <m/>
    <x v="5"/>
    <n v="1509190"/>
    <x v="1"/>
    <x v="0"/>
    <x v="1"/>
    <x v="3"/>
  </r>
  <r>
    <x v="2"/>
    <s v="18:09:47"/>
    <s v="카드결제"/>
    <n v="17400"/>
    <m/>
    <x v="6"/>
    <n v="1491790"/>
    <x v="4"/>
    <x v="3"/>
    <x v="2"/>
    <x v="3"/>
  </r>
  <r>
    <x v="2"/>
    <s v="19:37:15"/>
    <s v="카드결제"/>
    <n v="6700"/>
    <m/>
    <x v="0"/>
    <n v="1485090"/>
    <x v="0"/>
    <x v="0"/>
    <x v="2"/>
    <x v="4"/>
  </r>
  <r>
    <x v="3"/>
    <s v="09:58:05"/>
    <s v="카드결제"/>
    <n v="5400"/>
    <m/>
    <x v="7"/>
    <n v="1479690"/>
    <x v="1"/>
    <x v="0"/>
    <x v="3"/>
    <x v="5"/>
  </r>
  <r>
    <x v="4"/>
    <s v="20:45:15"/>
    <s v="카드결제"/>
    <n v="8800"/>
    <m/>
    <x v="8"/>
    <n v="1470890"/>
    <x v="1"/>
    <x v="0"/>
    <x v="4"/>
    <x v="2"/>
  </r>
  <r>
    <x v="4"/>
    <s v="21:32:24"/>
    <s v="카드결제"/>
    <n v="10400"/>
    <m/>
    <x v="9"/>
    <n v="1460490"/>
    <x v="5"/>
    <x v="4"/>
    <x v="4"/>
    <x v="6"/>
  </r>
  <r>
    <x v="5"/>
    <s v="02:51:35"/>
    <s v="카드결제"/>
    <n v="7500"/>
    <m/>
    <x v="0"/>
    <n v="1452990"/>
    <x v="0"/>
    <x v="0"/>
    <x v="5"/>
    <x v="7"/>
  </r>
  <r>
    <x v="5"/>
    <s v="08:24:45"/>
    <s v="카드결제"/>
    <n v="12200"/>
    <m/>
    <x v="10"/>
    <n v="1440790"/>
    <x v="6"/>
    <x v="5"/>
    <x v="5"/>
    <x v="8"/>
  </r>
  <r>
    <x v="5"/>
    <s v="15:45:22"/>
    <s v="카드결제"/>
    <n v="5600"/>
    <m/>
    <x v="11"/>
    <n v="1435190"/>
    <x v="1"/>
    <x v="0"/>
    <x v="5"/>
    <x v="9"/>
  </r>
  <r>
    <x v="5"/>
    <s v="19:36:15"/>
    <s v="카드결제"/>
    <n v="6800"/>
    <m/>
    <x v="12"/>
    <n v="1428390"/>
    <x v="1"/>
    <x v="0"/>
    <x v="5"/>
    <x v="4"/>
  </r>
  <r>
    <x v="5"/>
    <s v="23:33:01"/>
    <s v="카드결제"/>
    <n v="56500"/>
    <m/>
    <x v="13"/>
    <n v="1371890"/>
    <x v="7"/>
    <x v="6"/>
    <x v="5"/>
    <x v="10"/>
  </r>
  <r>
    <x v="5"/>
    <s v="23:45:17"/>
    <s v="카드결제"/>
    <n v="4400"/>
    <m/>
    <x v="0"/>
    <n v="1367490"/>
    <x v="0"/>
    <x v="0"/>
    <x v="5"/>
    <x v="10"/>
  </r>
  <r>
    <x v="6"/>
    <s v="22:26:54"/>
    <s v="카드결제"/>
    <n v="5900"/>
    <m/>
    <x v="14"/>
    <n v="1361590"/>
    <x v="1"/>
    <x v="0"/>
    <x v="6"/>
    <x v="11"/>
  </r>
  <r>
    <x v="7"/>
    <s v="00:33:47"/>
    <s v="카드결제"/>
    <n v="2000"/>
    <m/>
    <x v="10"/>
    <n v="1359590"/>
    <x v="6"/>
    <x v="5"/>
    <x v="7"/>
    <x v="0"/>
  </r>
  <r>
    <x v="7"/>
    <s v="15:07:12"/>
    <s v="카드결제"/>
    <n v="7800"/>
    <m/>
    <x v="15"/>
    <n v="1351790"/>
    <x v="1"/>
    <x v="0"/>
    <x v="7"/>
    <x v="9"/>
  </r>
  <r>
    <x v="7"/>
    <s v="18:18:36"/>
    <s v="계좌이체"/>
    <n v="9500"/>
    <m/>
    <x v="16"/>
    <n v="1342290"/>
    <x v="1"/>
    <x v="0"/>
    <x v="7"/>
    <x v="3"/>
  </r>
  <r>
    <x v="7"/>
    <s v="21:45:48"/>
    <s v="카드결제"/>
    <n v="15300"/>
    <m/>
    <x v="0"/>
    <n v="1326990"/>
    <x v="0"/>
    <x v="0"/>
    <x v="7"/>
    <x v="6"/>
  </r>
  <r>
    <x v="8"/>
    <s v="18:06:47"/>
    <s v="계좌이체"/>
    <n v="21400"/>
    <m/>
    <x v="17"/>
    <n v="1305590"/>
    <x v="1"/>
    <x v="0"/>
    <x v="8"/>
    <x v="3"/>
  </r>
  <r>
    <x v="9"/>
    <s v="09:26:29"/>
    <s v="카드결제"/>
    <n v="2900"/>
    <m/>
    <x v="18"/>
    <n v="1302690"/>
    <x v="8"/>
    <x v="5"/>
    <x v="9"/>
    <x v="5"/>
  </r>
  <r>
    <x v="9"/>
    <s v="18:13:27"/>
    <s v="카드결제"/>
    <n v="13800"/>
    <m/>
    <x v="19"/>
    <n v="1288890"/>
    <x v="9"/>
    <x v="5"/>
    <x v="9"/>
    <x v="3"/>
  </r>
  <r>
    <x v="9"/>
    <s v="19:43:57"/>
    <s v="카드결제"/>
    <n v="5800"/>
    <m/>
    <x v="20"/>
    <n v="1283090"/>
    <x v="10"/>
    <x v="0"/>
    <x v="9"/>
    <x v="4"/>
  </r>
  <r>
    <x v="9"/>
    <s v="22:46:51"/>
    <s v="카드결제"/>
    <n v="5800"/>
    <m/>
    <x v="0"/>
    <n v="1277290"/>
    <x v="0"/>
    <x v="0"/>
    <x v="9"/>
    <x v="11"/>
  </r>
  <r>
    <x v="10"/>
    <s v="17:41:11"/>
    <s v="카드결제"/>
    <n v="3000"/>
    <m/>
    <x v="21"/>
    <n v="1274290"/>
    <x v="8"/>
    <x v="5"/>
    <x v="10"/>
    <x v="12"/>
  </r>
  <r>
    <x v="10"/>
    <s v="17:41:12"/>
    <s v="카드결제"/>
    <n v="100"/>
    <m/>
    <x v="21"/>
    <n v="1274190"/>
    <x v="8"/>
    <x v="5"/>
    <x v="10"/>
    <x v="12"/>
  </r>
  <r>
    <x v="10"/>
    <s v="17:49:37"/>
    <s v="카드결제"/>
    <n v="7200"/>
    <m/>
    <x v="22"/>
    <n v="1266990"/>
    <x v="9"/>
    <x v="5"/>
    <x v="10"/>
    <x v="12"/>
  </r>
  <r>
    <x v="10"/>
    <s v="17:51:16"/>
    <s v="계좌이체"/>
    <n v="800"/>
    <m/>
    <x v="22"/>
    <n v="1266190"/>
    <x v="9"/>
    <x v="5"/>
    <x v="10"/>
    <x v="12"/>
  </r>
  <r>
    <x v="10"/>
    <s v="20:54:32"/>
    <s v="카드결제"/>
    <n v="6400"/>
    <m/>
    <x v="0"/>
    <n v="1259790"/>
    <x v="0"/>
    <x v="0"/>
    <x v="10"/>
    <x v="2"/>
  </r>
  <r>
    <x v="11"/>
    <s v="16:04:32"/>
    <s v="카드결제"/>
    <n v="10500"/>
    <m/>
    <x v="23"/>
    <n v="1249290"/>
    <x v="1"/>
    <x v="0"/>
    <x v="11"/>
    <x v="1"/>
  </r>
  <r>
    <x v="11"/>
    <s v="22:59:24"/>
    <s v="카드결제"/>
    <n v="2500"/>
    <m/>
    <x v="12"/>
    <n v="1246790"/>
    <x v="1"/>
    <x v="0"/>
    <x v="11"/>
    <x v="11"/>
  </r>
  <r>
    <x v="12"/>
    <s v="00:46:51"/>
    <s v="카드결제"/>
    <n v="8500"/>
    <m/>
    <x v="0"/>
    <n v="1238290"/>
    <x v="0"/>
    <x v="0"/>
    <x v="12"/>
    <x v="0"/>
  </r>
  <r>
    <x v="12"/>
    <s v="03:03:28"/>
    <s v="카드결제"/>
    <n v="41300"/>
    <m/>
    <x v="19"/>
    <n v="1196990"/>
    <x v="9"/>
    <x v="5"/>
    <x v="12"/>
    <x v="13"/>
  </r>
  <r>
    <x v="12"/>
    <s v="19:59:35"/>
    <s v="카드결제"/>
    <n v="4300"/>
    <m/>
    <x v="24"/>
    <n v="1192690"/>
    <x v="11"/>
    <x v="0"/>
    <x v="12"/>
    <x v="4"/>
  </r>
  <r>
    <x v="12"/>
    <s v="23:59:21"/>
    <s v="카드결제"/>
    <n v="5200"/>
    <m/>
    <x v="0"/>
    <n v="1187490"/>
    <x v="0"/>
    <x v="0"/>
    <x v="12"/>
    <x v="10"/>
  </r>
  <r>
    <x v="13"/>
    <s v="18:05:28"/>
    <s v="모바일결제"/>
    <n v="272600"/>
    <m/>
    <x v="25"/>
    <n v="914890"/>
    <x v="12"/>
    <x v="7"/>
    <x v="13"/>
    <x v="3"/>
  </r>
  <r>
    <x v="13"/>
    <s v="19:56:29"/>
    <s v="카드결제"/>
    <n v="18400"/>
    <m/>
    <x v="26"/>
    <n v="896490"/>
    <x v="1"/>
    <x v="0"/>
    <x v="13"/>
    <x v="4"/>
  </r>
  <r>
    <x v="14"/>
    <s v="15:27:37"/>
    <s v="카드결제"/>
    <n v="7400"/>
    <m/>
    <x v="3"/>
    <n v="889090"/>
    <x v="1"/>
    <x v="0"/>
    <x v="14"/>
    <x v="9"/>
  </r>
  <r>
    <x v="14"/>
    <s v="15:32:56"/>
    <s v="카드결제"/>
    <n v="2700"/>
    <m/>
    <x v="27"/>
    <n v="886390"/>
    <x v="13"/>
    <x v="8"/>
    <x v="14"/>
    <x v="9"/>
  </r>
  <r>
    <x v="14"/>
    <s v="16:33:48"/>
    <s v="카드결제"/>
    <n v="16400"/>
    <m/>
    <x v="28"/>
    <n v="869990"/>
    <x v="1"/>
    <x v="0"/>
    <x v="14"/>
    <x v="1"/>
  </r>
  <r>
    <x v="14"/>
    <s v="16:40:11"/>
    <s v="카드결제"/>
    <n v="4600"/>
    <m/>
    <x v="24"/>
    <n v="865390"/>
    <x v="11"/>
    <x v="0"/>
    <x v="14"/>
    <x v="1"/>
  </r>
  <r>
    <x v="14"/>
    <s v="19:02:08"/>
    <s v="카드결제"/>
    <n v="25100"/>
    <m/>
    <x v="29"/>
    <n v="840290"/>
    <x v="9"/>
    <x v="5"/>
    <x v="14"/>
    <x v="4"/>
  </r>
  <r>
    <x v="15"/>
    <s v="15:50:34"/>
    <s v="카드결제"/>
    <n v="6200"/>
    <m/>
    <x v="7"/>
    <n v="834090"/>
    <x v="1"/>
    <x v="0"/>
    <x v="15"/>
    <x v="9"/>
  </r>
  <r>
    <x v="15"/>
    <s v="16:22:39"/>
    <s v="카드결제"/>
    <n v="4400"/>
    <m/>
    <x v="24"/>
    <n v="829690"/>
    <x v="11"/>
    <x v="0"/>
    <x v="15"/>
    <x v="1"/>
  </r>
  <r>
    <x v="15"/>
    <s v="20:12:08"/>
    <s v="카드결제"/>
    <n v="4100"/>
    <m/>
    <x v="20"/>
    <n v="825590"/>
    <x v="10"/>
    <x v="0"/>
    <x v="15"/>
    <x v="2"/>
  </r>
  <r>
    <x v="16"/>
    <s v="14:22:42"/>
    <s v="카드결제"/>
    <n v="4500"/>
    <m/>
    <x v="18"/>
    <n v="821090"/>
    <x v="8"/>
    <x v="5"/>
    <x v="16"/>
    <x v="14"/>
  </r>
  <r>
    <x v="16"/>
    <s v="22:00:47"/>
    <s v="카드결제"/>
    <n v="9800"/>
    <m/>
    <x v="30"/>
    <n v="811290"/>
    <x v="1"/>
    <x v="0"/>
    <x v="16"/>
    <x v="11"/>
  </r>
  <r>
    <x v="17"/>
    <s v="12:32:41"/>
    <s v="카드결제"/>
    <n v="21200"/>
    <m/>
    <x v="15"/>
    <n v="790090"/>
    <x v="1"/>
    <x v="0"/>
    <x v="17"/>
    <x v="15"/>
  </r>
  <r>
    <x v="17"/>
    <s v="19:21:30"/>
    <s v="카드결제"/>
    <n v="10700"/>
    <m/>
    <x v="31"/>
    <n v="779390"/>
    <x v="1"/>
    <x v="0"/>
    <x v="17"/>
    <x v="4"/>
  </r>
  <r>
    <x v="18"/>
    <s v="03:02:08"/>
    <s v="카드결제"/>
    <n v="4000"/>
    <m/>
    <x v="0"/>
    <n v="775390"/>
    <x v="0"/>
    <x v="0"/>
    <x v="18"/>
    <x v="13"/>
  </r>
  <r>
    <x v="18"/>
    <s v="09:41:09"/>
    <s v="카드결제"/>
    <n v="13700"/>
    <m/>
    <x v="32"/>
    <n v="761690"/>
    <x v="14"/>
    <x v="7"/>
    <x v="18"/>
    <x v="5"/>
  </r>
  <r>
    <x v="18"/>
    <s v="10:03:32"/>
    <s v="카드결제"/>
    <n v="5600"/>
    <m/>
    <x v="33"/>
    <n v="756090"/>
    <x v="6"/>
    <x v="5"/>
    <x v="18"/>
    <x v="16"/>
  </r>
  <r>
    <x v="18"/>
    <s v="20:02:15"/>
    <s v="카드결제"/>
    <n v="52000"/>
    <m/>
    <x v="34"/>
    <n v="704090"/>
    <x v="15"/>
    <x v="5"/>
    <x v="18"/>
    <x v="2"/>
  </r>
  <r>
    <x v="18"/>
    <s v="20:09:05"/>
    <s v="카드결제"/>
    <n v="2600"/>
    <m/>
    <x v="0"/>
    <n v="701490"/>
    <x v="0"/>
    <x v="0"/>
    <x v="18"/>
    <x v="2"/>
  </r>
  <r>
    <x v="18"/>
    <s v="23:04:14"/>
    <s v="카드결제"/>
    <n v="40900"/>
    <m/>
    <x v="35"/>
    <n v="660590"/>
    <x v="14"/>
    <x v="7"/>
    <x v="18"/>
    <x v="10"/>
  </r>
  <r>
    <x v="19"/>
    <s v="19:22:22"/>
    <s v="카드결제"/>
    <n v="3600"/>
    <m/>
    <x v="36"/>
    <n v="656990"/>
    <x v="9"/>
    <x v="5"/>
    <x v="19"/>
    <x v="4"/>
  </r>
  <r>
    <x v="20"/>
    <s v="00:11:15"/>
    <s v="카드결제"/>
    <n v="4300"/>
    <m/>
    <x v="12"/>
    <n v="652690"/>
    <x v="1"/>
    <x v="0"/>
    <x v="20"/>
    <x v="0"/>
  </r>
  <r>
    <x v="20"/>
    <s v="02:43:49"/>
    <s v="카드결제"/>
    <n v="2300"/>
    <m/>
    <x v="10"/>
    <n v="650390"/>
    <x v="6"/>
    <x v="5"/>
    <x v="20"/>
    <x v="7"/>
  </r>
  <r>
    <x v="21"/>
    <s v="03:49:56"/>
    <s v="카드결제"/>
    <n v="11400"/>
    <m/>
    <x v="0"/>
    <n v="638990"/>
    <x v="0"/>
    <x v="0"/>
    <x v="21"/>
    <x v="13"/>
  </r>
  <r>
    <x v="21"/>
    <s v="18:08:21"/>
    <s v="계좌이체"/>
    <n v="10700"/>
    <m/>
    <x v="37"/>
    <n v="628290"/>
    <x v="1"/>
    <x v="0"/>
    <x v="21"/>
    <x v="3"/>
  </r>
  <r>
    <x v="22"/>
    <s v="10:03:32"/>
    <s v="계좌이체"/>
    <m/>
    <n v="2754000"/>
    <x v="38"/>
    <n v="3382290"/>
    <x v="16"/>
    <x v="2"/>
    <x v="22"/>
    <x v="16"/>
  </r>
  <r>
    <x v="22"/>
    <d v="1899-12-30T10:15:32"/>
    <s v="계좌이체"/>
    <n v="450000"/>
    <m/>
    <x v="39"/>
    <n v="2932290"/>
    <x v="17"/>
    <x v="9"/>
    <x v="22"/>
    <x v="16"/>
  </r>
  <r>
    <x v="22"/>
    <s v="14:31:38"/>
    <s v="카드결제"/>
    <n v="11000"/>
    <m/>
    <x v="40"/>
    <n v="2921290"/>
    <x v="18"/>
    <x v="8"/>
    <x v="22"/>
    <x v="14"/>
  </r>
  <r>
    <x v="22"/>
    <s v="14:33:10"/>
    <s v="카드결제"/>
    <n v="3500"/>
    <m/>
    <x v="41"/>
    <n v="2917790"/>
    <x v="13"/>
    <x v="8"/>
    <x v="22"/>
    <x v="14"/>
  </r>
  <r>
    <x v="22"/>
    <s v="15:05:14"/>
    <s v="카드결제"/>
    <n v="4900"/>
    <m/>
    <x v="16"/>
    <n v="2912890"/>
    <x v="1"/>
    <x v="0"/>
    <x v="22"/>
    <x v="9"/>
  </r>
  <r>
    <x v="22"/>
    <s v="15:32:02"/>
    <s v="모바일결제"/>
    <n v="100600"/>
    <m/>
    <x v="42"/>
    <n v="2812290"/>
    <x v="19"/>
    <x v="6"/>
    <x v="22"/>
    <x v="9"/>
  </r>
  <r>
    <x v="22"/>
    <s v="15:32:51"/>
    <s v="모바일결제"/>
    <n v="819800"/>
    <m/>
    <x v="43"/>
    <n v="1992490"/>
    <x v="19"/>
    <x v="6"/>
    <x v="22"/>
    <x v="9"/>
  </r>
  <r>
    <x v="22"/>
    <s v="15:33:30"/>
    <s v="모바일결제"/>
    <n v="12500"/>
    <m/>
    <x v="42"/>
    <n v="1979990"/>
    <x v="19"/>
    <x v="6"/>
    <x v="22"/>
    <x v="9"/>
  </r>
  <r>
    <x v="22"/>
    <s v="18:57:01"/>
    <s v="보험"/>
    <n v="54500"/>
    <m/>
    <x v="44"/>
    <n v="1925490"/>
    <x v="20"/>
    <x v="10"/>
    <x v="22"/>
    <x v="3"/>
  </r>
  <r>
    <x v="22"/>
    <s v="19:36:30"/>
    <s v="계좌이체"/>
    <n v="30600"/>
    <m/>
    <x v="45"/>
    <n v="1894890"/>
    <x v="21"/>
    <x v="4"/>
    <x v="22"/>
    <x v="4"/>
  </r>
  <r>
    <x v="22"/>
    <s v="19:45:40"/>
    <s v="카드결제"/>
    <n v="7700"/>
    <m/>
    <x v="28"/>
    <n v="1887190"/>
    <x v="1"/>
    <x v="0"/>
    <x v="22"/>
    <x v="4"/>
  </r>
  <r>
    <x v="22"/>
    <s v="19:46:42"/>
    <s v="카드결제"/>
    <n v="800"/>
    <m/>
    <x v="28"/>
    <n v="1886390"/>
    <x v="1"/>
    <x v="0"/>
    <x v="22"/>
    <x v="4"/>
  </r>
  <r>
    <x v="23"/>
    <s v="04:44:16"/>
    <s v="카드결제"/>
    <n v="4100"/>
    <m/>
    <x v="0"/>
    <n v="1882290"/>
    <x v="0"/>
    <x v="0"/>
    <x v="23"/>
    <x v="17"/>
  </r>
  <r>
    <x v="23"/>
    <s v="05:14:41"/>
    <s v="계좌이체"/>
    <n v="19000"/>
    <m/>
    <x v="46"/>
    <n v="1863290"/>
    <x v="1"/>
    <x v="0"/>
    <x v="23"/>
    <x v="18"/>
  </r>
  <r>
    <x v="23"/>
    <s v="07:01:48"/>
    <s v="통신"/>
    <n v="1900"/>
    <m/>
    <x v="47"/>
    <n v="1861390"/>
    <x v="22"/>
    <x v="11"/>
    <x v="23"/>
    <x v="19"/>
  </r>
  <r>
    <x v="24"/>
    <s v="14:55:30"/>
    <s v="카드결제"/>
    <n v="4500"/>
    <m/>
    <x v="21"/>
    <n v="1856890"/>
    <x v="8"/>
    <x v="5"/>
    <x v="24"/>
    <x v="14"/>
  </r>
  <r>
    <x v="24"/>
    <s v="14:55:30"/>
    <s v="카드결제"/>
    <n v="100"/>
    <m/>
    <x v="21"/>
    <n v="1856790"/>
    <x v="8"/>
    <x v="5"/>
    <x v="24"/>
    <x v="14"/>
  </r>
  <r>
    <x v="24"/>
    <s v="15:03:09"/>
    <s v="카드결제"/>
    <n v="12600"/>
    <m/>
    <x v="48"/>
    <n v="1844190"/>
    <x v="1"/>
    <x v="0"/>
    <x v="24"/>
    <x v="9"/>
  </r>
  <r>
    <x v="24"/>
    <s v="19:35:57"/>
    <s v="계좌이체"/>
    <n v="16600"/>
    <m/>
    <x v="14"/>
    <n v="1827590"/>
    <x v="1"/>
    <x v="0"/>
    <x v="24"/>
    <x v="4"/>
  </r>
  <r>
    <x v="24"/>
    <s v="20:29:57"/>
    <s v="카드결제"/>
    <n v="3700"/>
    <m/>
    <x v="12"/>
    <n v="1823890"/>
    <x v="1"/>
    <x v="0"/>
    <x v="24"/>
    <x v="2"/>
  </r>
  <r>
    <x v="25"/>
    <s v="00:36:32"/>
    <s v="카드결제"/>
    <n v="8100"/>
    <m/>
    <x v="0"/>
    <n v="1815790"/>
    <x v="0"/>
    <x v="0"/>
    <x v="25"/>
    <x v="0"/>
  </r>
  <r>
    <x v="25"/>
    <s v="07:29:54"/>
    <s v="카드결제"/>
    <n v="11700"/>
    <m/>
    <x v="9"/>
    <n v="1804090"/>
    <x v="5"/>
    <x v="4"/>
    <x v="25"/>
    <x v="19"/>
  </r>
  <r>
    <x v="25"/>
    <s v="15:20:49"/>
    <s v="계좌이체"/>
    <n v="3400"/>
    <m/>
    <x v="22"/>
    <n v="1800690"/>
    <x v="9"/>
    <x v="5"/>
    <x v="25"/>
    <x v="9"/>
  </r>
  <r>
    <x v="25"/>
    <s v="21:48:30"/>
    <s v="카드결제"/>
    <n v="2400"/>
    <m/>
    <x v="18"/>
    <n v="1798290"/>
    <x v="8"/>
    <x v="5"/>
    <x v="25"/>
    <x v="6"/>
  </r>
  <r>
    <x v="26"/>
    <s v="08:57:45"/>
    <s v="카드결제"/>
    <n v="58600"/>
    <m/>
    <x v="49"/>
    <n v="1739690"/>
    <x v="1"/>
    <x v="0"/>
    <x v="26"/>
    <x v="8"/>
  </r>
  <r>
    <x v="26"/>
    <s v="13:24:31"/>
    <s v="카드결제"/>
    <n v="7400"/>
    <m/>
    <x v="50"/>
    <n v="1732290"/>
    <x v="1"/>
    <x v="0"/>
    <x v="26"/>
    <x v="20"/>
  </r>
  <r>
    <x v="26"/>
    <s v="19:44:23"/>
    <s v="카드결제"/>
    <n v="1500"/>
    <m/>
    <x v="36"/>
    <n v="1730790"/>
    <x v="9"/>
    <x v="5"/>
    <x v="26"/>
    <x v="4"/>
  </r>
  <r>
    <x v="27"/>
    <s v="11:47:10"/>
    <s v="카드결제"/>
    <n v="9200"/>
    <m/>
    <x v="24"/>
    <n v="1721590"/>
    <x v="11"/>
    <x v="0"/>
    <x v="27"/>
    <x v="21"/>
  </r>
  <r>
    <x v="27"/>
    <s v="17:25:35"/>
    <s v="카드결제"/>
    <n v="5100"/>
    <m/>
    <x v="24"/>
    <n v="1716490"/>
    <x v="11"/>
    <x v="0"/>
    <x v="27"/>
    <x v="12"/>
  </r>
  <r>
    <x v="27"/>
    <s v="20:09:07"/>
    <s v="카드결제"/>
    <n v="5600"/>
    <m/>
    <x v="51"/>
    <n v="1710890"/>
    <x v="11"/>
    <x v="0"/>
    <x v="27"/>
    <x v="2"/>
  </r>
  <r>
    <x v="27"/>
    <s v="20:18:14"/>
    <s v="카드결제"/>
    <n v="1100"/>
    <m/>
    <x v="24"/>
    <n v="1709790"/>
    <x v="11"/>
    <x v="0"/>
    <x v="27"/>
    <x v="2"/>
  </r>
  <r>
    <x v="27"/>
    <s v="20:31:11"/>
    <s v="카드결제"/>
    <n v="10800"/>
    <m/>
    <x v="0"/>
    <n v="1698990"/>
    <x v="0"/>
    <x v="0"/>
    <x v="27"/>
    <x v="2"/>
  </r>
  <r>
    <x v="27"/>
    <s v="20:41:25"/>
    <s v="카드결제"/>
    <n v="2100"/>
    <m/>
    <x v="10"/>
    <n v="1696890"/>
    <x v="6"/>
    <x v="5"/>
    <x v="27"/>
    <x v="2"/>
  </r>
  <r>
    <x v="28"/>
    <s v="14:45:21"/>
    <s v="카드결제"/>
    <n v="13000"/>
    <m/>
    <x v="52"/>
    <n v="1683890"/>
    <x v="1"/>
    <x v="0"/>
    <x v="28"/>
    <x v="14"/>
  </r>
  <r>
    <x v="29"/>
    <s v="15:16:53"/>
    <s v="카드결제"/>
    <n v="27800"/>
    <m/>
    <x v="7"/>
    <n v="1656090"/>
    <x v="1"/>
    <x v="0"/>
    <x v="29"/>
    <x v="9"/>
  </r>
  <r>
    <x v="29"/>
    <s v="22:46:17"/>
    <s v="카드결제"/>
    <n v="8800"/>
    <m/>
    <x v="0"/>
    <n v="1647290"/>
    <x v="0"/>
    <x v="0"/>
    <x v="29"/>
    <x v="11"/>
  </r>
  <r>
    <x v="30"/>
    <s v="15:47:10"/>
    <s v="카드결제"/>
    <n v="13900"/>
    <m/>
    <x v="53"/>
    <n v="1633390"/>
    <x v="1"/>
    <x v="0"/>
    <x v="30"/>
    <x v="9"/>
  </r>
  <r>
    <x v="31"/>
    <s v="07:03:14"/>
    <s v="보험"/>
    <n v="18800"/>
    <m/>
    <x v="54"/>
    <n v="1614590"/>
    <x v="23"/>
    <x v="10"/>
    <x v="31"/>
    <x v="19"/>
  </r>
  <r>
    <x v="31"/>
    <s v="14:29:40"/>
    <s v="카드결제"/>
    <n v="4300"/>
    <m/>
    <x v="10"/>
    <n v="1610290"/>
    <x v="6"/>
    <x v="5"/>
    <x v="31"/>
    <x v="14"/>
  </r>
  <r>
    <x v="31"/>
    <s v="20:39:43"/>
    <s v="카드결제"/>
    <n v="18400"/>
    <m/>
    <x v="55"/>
    <n v="1591890"/>
    <x v="1"/>
    <x v="0"/>
    <x v="31"/>
    <x v="2"/>
  </r>
  <r>
    <x v="32"/>
    <s v="00:35:20"/>
    <s v="계좌이체"/>
    <m/>
    <n v="165590"/>
    <x v="4"/>
    <n v="1757480"/>
    <x v="3"/>
    <x v="2"/>
    <x v="32"/>
    <x v="0"/>
  </r>
  <r>
    <x v="32"/>
    <s v="07:50:29"/>
    <s v="카드결제"/>
    <n v="38000"/>
    <m/>
    <x v="1"/>
    <n v="1719480"/>
    <x v="1"/>
    <x v="0"/>
    <x v="32"/>
    <x v="19"/>
  </r>
  <r>
    <x v="32"/>
    <s v="13:52:22"/>
    <s v="카드결제"/>
    <n v="5900"/>
    <m/>
    <x v="7"/>
    <n v="1713580"/>
    <x v="1"/>
    <x v="0"/>
    <x v="32"/>
    <x v="20"/>
  </r>
  <r>
    <x v="32"/>
    <s v="14:19:00"/>
    <s v="카드결제"/>
    <n v="5300"/>
    <m/>
    <x v="18"/>
    <n v="1708280"/>
    <x v="8"/>
    <x v="5"/>
    <x v="32"/>
    <x v="14"/>
  </r>
  <r>
    <x v="32"/>
    <s v="22:42:42"/>
    <s v="카드결제"/>
    <n v="7700"/>
    <m/>
    <x v="0"/>
    <n v="1700580"/>
    <x v="0"/>
    <x v="0"/>
    <x v="32"/>
    <x v="11"/>
  </r>
  <r>
    <x v="33"/>
    <s v="16:28:32"/>
    <s v="카드결제"/>
    <n v="23800"/>
    <m/>
    <x v="51"/>
    <n v="1676780"/>
    <x v="11"/>
    <x v="0"/>
    <x v="33"/>
    <x v="1"/>
  </r>
  <r>
    <x v="33"/>
    <s v="18:55:27"/>
    <s v="카드결제"/>
    <n v="3600"/>
    <m/>
    <x v="24"/>
    <n v="1673180"/>
    <x v="11"/>
    <x v="0"/>
    <x v="33"/>
    <x v="3"/>
  </r>
  <r>
    <x v="33"/>
    <s v="19:26:01"/>
    <s v="카드결제"/>
    <n v="2700"/>
    <m/>
    <x v="56"/>
    <n v="1670480"/>
    <x v="2"/>
    <x v="1"/>
    <x v="33"/>
    <x v="4"/>
  </r>
  <r>
    <x v="33"/>
    <s v="23:16:15"/>
    <s v="카드결제"/>
    <n v="2100"/>
    <m/>
    <x v="56"/>
    <n v="1668380"/>
    <x v="2"/>
    <x v="1"/>
    <x v="33"/>
    <x v="10"/>
  </r>
  <r>
    <x v="34"/>
    <s v="00:34:05"/>
    <s v="카드결제"/>
    <n v="6200"/>
    <m/>
    <x v="0"/>
    <n v="1662180"/>
    <x v="0"/>
    <x v="0"/>
    <x v="34"/>
    <x v="0"/>
  </r>
  <r>
    <x v="34"/>
    <s v="01:48:24"/>
    <s v="카드결제"/>
    <n v="2400"/>
    <m/>
    <x v="57"/>
    <n v="1659780"/>
    <x v="2"/>
    <x v="1"/>
    <x v="34"/>
    <x v="22"/>
  </r>
  <r>
    <x v="34"/>
    <s v="12:01:04"/>
    <s v="카드결제"/>
    <n v="2900"/>
    <m/>
    <x v="57"/>
    <n v="1656880"/>
    <x v="2"/>
    <x v="1"/>
    <x v="34"/>
    <x v="15"/>
  </r>
  <r>
    <x v="34"/>
    <s v="16:41:51"/>
    <s v="카드결제"/>
    <n v="2600"/>
    <m/>
    <x v="57"/>
    <n v="1654280"/>
    <x v="2"/>
    <x v="1"/>
    <x v="34"/>
    <x v="1"/>
  </r>
  <r>
    <x v="34"/>
    <s v="19:10:27"/>
    <s v="카드결제"/>
    <n v="2700"/>
    <m/>
    <x v="0"/>
    <n v="1651580"/>
    <x v="0"/>
    <x v="0"/>
    <x v="34"/>
    <x v="4"/>
  </r>
  <r>
    <x v="34"/>
    <s v="21:20:34"/>
    <s v="카드결제"/>
    <n v="2300"/>
    <m/>
    <x v="57"/>
    <n v="1649280"/>
    <x v="2"/>
    <x v="1"/>
    <x v="34"/>
    <x v="6"/>
  </r>
  <r>
    <x v="35"/>
    <s v="08:27:50"/>
    <s v="카드결제"/>
    <n v="3300"/>
    <m/>
    <x v="57"/>
    <n v="1645980"/>
    <x v="2"/>
    <x v="1"/>
    <x v="35"/>
    <x v="8"/>
  </r>
  <r>
    <x v="35"/>
    <s v="13:34:13"/>
    <s v="카드결제"/>
    <n v="10900"/>
    <m/>
    <x v="24"/>
    <n v="1635080"/>
    <x v="11"/>
    <x v="0"/>
    <x v="35"/>
    <x v="20"/>
  </r>
  <r>
    <x v="35"/>
    <s v="14:53:16"/>
    <s v="카드결제"/>
    <n v="5900"/>
    <m/>
    <x v="16"/>
    <n v="1629180"/>
    <x v="1"/>
    <x v="0"/>
    <x v="35"/>
    <x v="14"/>
  </r>
  <r>
    <x v="35"/>
    <s v="14:56:12"/>
    <s v="카드결제"/>
    <n v="4100"/>
    <m/>
    <x v="24"/>
    <n v="1625080"/>
    <x v="11"/>
    <x v="0"/>
    <x v="35"/>
    <x v="14"/>
  </r>
  <r>
    <x v="35"/>
    <s v="18:13:21"/>
    <s v="카드결제"/>
    <n v="3900"/>
    <m/>
    <x v="6"/>
    <n v="1621180"/>
    <x v="4"/>
    <x v="3"/>
    <x v="35"/>
    <x v="3"/>
  </r>
  <r>
    <x v="35"/>
    <s v="19:00:56"/>
    <s v="카드결제"/>
    <n v="17800"/>
    <m/>
    <x v="58"/>
    <n v="1603380"/>
    <x v="1"/>
    <x v="0"/>
    <x v="35"/>
    <x v="4"/>
  </r>
  <r>
    <x v="35"/>
    <s v="20:08:53"/>
    <s v="카드결제"/>
    <n v="4900"/>
    <m/>
    <x v="2"/>
    <n v="1598480"/>
    <x v="2"/>
    <x v="1"/>
    <x v="35"/>
    <x v="2"/>
  </r>
  <r>
    <x v="36"/>
    <s v="08:04:52"/>
    <s v="카드결제"/>
    <n v="50000"/>
    <m/>
    <x v="19"/>
    <n v="1548480"/>
    <x v="9"/>
    <x v="5"/>
    <x v="36"/>
    <x v="8"/>
  </r>
  <r>
    <x v="36"/>
    <s v="08:24:45"/>
    <s v="카드결제"/>
    <n v="12200"/>
    <m/>
    <x v="10"/>
    <n v="1536280"/>
    <x v="6"/>
    <x v="5"/>
    <x v="36"/>
    <x v="8"/>
  </r>
  <r>
    <x v="36"/>
    <s v="11:52:02"/>
    <s v="카드결제"/>
    <n v="7400"/>
    <m/>
    <x v="59"/>
    <n v="1528880"/>
    <x v="1"/>
    <x v="0"/>
    <x v="36"/>
    <x v="21"/>
  </r>
  <r>
    <x v="36"/>
    <s v="16:19:17"/>
    <s v="카드결제"/>
    <n v="8400"/>
    <m/>
    <x v="2"/>
    <n v="1520480"/>
    <x v="2"/>
    <x v="1"/>
    <x v="36"/>
    <x v="1"/>
  </r>
  <r>
    <x v="36"/>
    <s v="17:29:27"/>
    <s v="카드결제"/>
    <n v="5700"/>
    <m/>
    <x v="20"/>
    <n v="1514780"/>
    <x v="10"/>
    <x v="0"/>
    <x v="36"/>
    <x v="12"/>
  </r>
  <r>
    <x v="37"/>
    <s v="17:59:06"/>
    <s v="카드결제"/>
    <n v="32500"/>
    <m/>
    <x v="37"/>
    <n v="1482280"/>
    <x v="1"/>
    <x v="0"/>
    <x v="37"/>
    <x v="12"/>
  </r>
  <r>
    <x v="37"/>
    <s v="19:18:32"/>
    <s v="카드결제"/>
    <n v="41700"/>
    <m/>
    <x v="51"/>
    <n v="1440580"/>
    <x v="11"/>
    <x v="0"/>
    <x v="37"/>
    <x v="4"/>
  </r>
  <r>
    <x v="37"/>
    <s v="22:00:47"/>
    <s v="카드결제"/>
    <n v="14200"/>
    <m/>
    <x v="2"/>
    <n v="1426380"/>
    <x v="2"/>
    <x v="1"/>
    <x v="37"/>
    <x v="11"/>
  </r>
  <r>
    <x v="38"/>
    <s v="00:33:47"/>
    <s v="카드결제"/>
    <n v="1600"/>
    <m/>
    <x v="10"/>
    <n v="1424780"/>
    <x v="6"/>
    <x v="5"/>
    <x v="38"/>
    <x v="0"/>
  </r>
  <r>
    <x v="38"/>
    <s v="14:59:17"/>
    <s v="카드결제"/>
    <n v="49200"/>
    <m/>
    <x v="19"/>
    <n v="1375580"/>
    <x v="9"/>
    <x v="5"/>
    <x v="38"/>
    <x v="14"/>
  </r>
  <r>
    <x v="38"/>
    <s v="15:08:50"/>
    <s v="카드결제"/>
    <n v="4100"/>
    <m/>
    <x v="19"/>
    <n v="1371480"/>
    <x v="9"/>
    <x v="5"/>
    <x v="38"/>
    <x v="9"/>
  </r>
  <r>
    <x v="38"/>
    <s v="15:47:32"/>
    <s v="카드결제"/>
    <n v="9200"/>
    <m/>
    <x v="60"/>
    <n v="1362280"/>
    <x v="1"/>
    <x v="0"/>
    <x v="38"/>
    <x v="9"/>
  </r>
  <r>
    <x v="38"/>
    <s v="22:19:25"/>
    <s v="카드결제"/>
    <n v="6500"/>
    <m/>
    <x v="12"/>
    <n v="1355780"/>
    <x v="1"/>
    <x v="0"/>
    <x v="38"/>
    <x v="11"/>
  </r>
  <r>
    <x v="38"/>
    <s v="22:37:48"/>
    <s v="카드결제"/>
    <n v="4500"/>
    <m/>
    <x v="0"/>
    <n v="1351280"/>
    <x v="0"/>
    <x v="0"/>
    <x v="38"/>
    <x v="11"/>
  </r>
  <r>
    <x v="39"/>
    <s v="01:52:03"/>
    <s v="카드결제"/>
    <n v="34300"/>
    <m/>
    <x v="29"/>
    <n v="1316980"/>
    <x v="9"/>
    <x v="5"/>
    <x v="39"/>
    <x v="22"/>
  </r>
  <r>
    <x v="39"/>
    <s v="13:56:57"/>
    <s v="카드결제"/>
    <n v="10200"/>
    <m/>
    <x v="60"/>
    <n v="1306780"/>
    <x v="1"/>
    <x v="0"/>
    <x v="39"/>
    <x v="20"/>
  </r>
  <r>
    <x v="39"/>
    <s v="18:34:59"/>
    <s v="카드결제"/>
    <n v="11000"/>
    <m/>
    <x v="23"/>
    <n v="1295780"/>
    <x v="1"/>
    <x v="0"/>
    <x v="39"/>
    <x v="3"/>
  </r>
  <r>
    <x v="39"/>
    <s v="19:20:47"/>
    <s v="카드결제"/>
    <n v="11400"/>
    <m/>
    <x v="15"/>
    <n v="1284380"/>
    <x v="1"/>
    <x v="0"/>
    <x v="39"/>
    <x v="4"/>
  </r>
  <r>
    <x v="40"/>
    <s v="18:57:36"/>
    <s v="카드결제"/>
    <n v="4300"/>
    <m/>
    <x v="24"/>
    <n v="1280080"/>
    <x v="11"/>
    <x v="0"/>
    <x v="40"/>
    <x v="3"/>
  </r>
  <r>
    <x v="40"/>
    <s v="20:48:42"/>
    <s v="카드결제"/>
    <n v="8000"/>
    <m/>
    <x v="24"/>
    <n v="1272080"/>
    <x v="11"/>
    <x v="0"/>
    <x v="40"/>
    <x v="2"/>
  </r>
  <r>
    <x v="40"/>
    <s v="23:35:02"/>
    <s v="카드결제"/>
    <n v="16600"/>
    <m/>
    <x v="61"/>
    <n v="1255480"/>
    <x v="1"/>
    <x v="0"/>
    <x v="40"/>
    <x v="10"/>
  </r>
  <r>
    <x v="40"/>
    <s v="23:54:37"/>
    <s v="카드결제"/>
    <n v="4300"/>
    <m/>
    <x v="0"/>
    <n v="1251180"/>
    <x v="0"/>
    <x v="0"/>
    <x v="40"/>
    <x v="10"/>
  </r>
  <r>
    <x v="41"/>
    <s v="16:20:06"/>
    <s v="카드결제"/>
    <n v="4000"/>
    <m/>
    <x v="62"/>
    <n v="1247180"/>
    <x v="10"/>
    <x v="0"/>
    <x v="41"/>
    <x v="1"/>
  </r>
  <r>
    <x v="42"/>
    <s v="12:25:45"/>
    <s v="카드결제"/>
    <n v="7600"/>
    <m/>
    <x v="18"/>
    <n v="1239580"/>
    <x v="8"/>
    <x v="5"/>
    <x v="42"/>
    <x v="15"/>
  </r>
  <r>
    <x v="42"/>
    <s v="12:59:21"/>
    <s v="현금IC"/>
    <n v="26700"/>
    <m/>
    <x v="63"/>
    <n v="1212880"/>
    <x v="8"/>
    <x v="5"/>
    <x v="42"/>
    <x v="15"/>
  </r>
  <r>
    <x v="42"/>
    <s v="15:01:34"/>
    <s v="계좌이체"/>
    <n v="2900"/>
    <m/>
    <x v="22"/>
    <n v="1209980"/>
    <x v="9"/>
    <x v="5"/>
    <x v="42"/>
    <x v="9"/>
  </r>
  <r>
    <x v="42"/>
    <s v="15:08:35"/>
    <s v="카드결제"/>
    <n v="5900"/>
    <m/>
    <x v="7"/>
    <n v="1204080"/>
    <x v="1"/>
    <x v="0"/>
    <x v="42"/>
    <x v="9"/>
  </r>
  <r>
    <x v="42"/>
    <s v="15:46:52"/>
    <s v="카드결제"/>
    <n v="3600"/>
    <m/>
    <x v="24"/>
    <n v="1200480"/>
    <x v="11"/>
    <x v="0"/>
    <x v="42"/>
    <x v="9"/>
  </r>
  <r>
    <x v="43"/>
    <s v="14:41:36"/>
    <s v="카드결제"/>
    <n v="20400"/>
    <m/>
    <x v="64"/>
    <n v="1180080"/>
    <x v="1"/>
    <x v="0"/>
    <x v="43"/>
    <x v="14"/>
  </r>
  <r>
    <x v="43"/>
    <s v="21:39:48"/>
    <s v="카드결제"/>
    <n v="21700"/>
    <m/>
    <x v="65"/>
    <n v="1158380"/>
    <x v="1"/>
    <x v="0"/>
    <x v="43"/>
    <x v="6"/>
  </r>
  <r>
    <x v="44"/>
    <s v="00:06:28"/>
    <s v="카드결제"/>
    <n v="18100"/>
    <m/>
    <x v="2"/>
    <n v="1140280"/>
    <x v="2"/>
    <x v="1"/>
    <x v="44"/>
    <x v="0"/>
  </r>
  <r>
    <x v="44"/>
    <s v="17:35:59"/>
    <s v="모바일결제"/>
    <n v="205600"/>
    <m/>
    <x v="25"/>
    <n v="934680"/>
    <x v="12"/>
    <x v="7"/>
    <x v="44"/>
    <x v="12"/>
  </r>
  <r>
    <x v="45"/>
    <s v="16:52:08"/>
    <s v="카드결제"/>
    <n v="12000"/>
    <m/>
    <x v="48"/>
    <n v="922680"/>
    <x v="1"/>
    <x v="0"/>
    <x v="45"/>
    <x v="1"/>
  </r>
  <r>
    <x v="46"/>
    <s v="00:18:46"/>
    <s v="카드결제"/>
    <n v="14300"/>
    <m/>
    <x v="0"/>
    <n v="908380"/>
    <x v="0"/>
    <x v="0"/>
    <x v="46"/>
    <x v="0"/>
  </r>
  <r>
    <x v="46"/>
    <s v="20:32:27"/>
    <s v="카드결제"/>
    <n v="25800"/>
    <m/>
    <x v="2"/>
    <n v="882580"/>
    <x v="2"/>
    <x v="1"/>
    <x v="46"/>
    <x v="2"/>
  </r>
  <r>
    <x v="47"/>
    <s v="17:10:54"/>
    <s v="계좌이체"/>
    <n v="1200"/>
    <m/>
    <x v="22"/>
    <n v="881380"/>
    <x v="9"/>
    <x v="5"/>
    <x v="47"/>
    <x v="12"/>
  </r>
  <r>
    <x v="47"/>
    <s v="17:17:35"/>
    <s v="카드결제"/>
    <n v="3600"/>
    <m/>
    <x v="24"/>
    <n v="877780"/>
    <x v="11"/>
    <x v="0"/>
    <x v="47"/>
    <x v="12"/>
  </r>
  <r>
    <x v="47"/>
    <s v="23:39:50"/>
    <s v="카드결제"/>
    <n v="11800"/>
    <m/>
    <x v="66"/>
    <n v="865980"/>
    <x v="1"/>
    <x v="0"/>
    <x v="47"/>
    <x v="10"/>
  </r>
  <r>
    <x v="48"/>
    <s v="09:09:34"/>
    <s v="카드결제"/>
    <n v="29000"/>
    <m/>
    <x v="29"/>
    <n v="836980"/>
    <x v="9"/>
    <x v="5"/>
    <x v="48"/>
    <x v="5"/>
  </r>
  <r>
    <x v="48"/>
    <s v="09:18:07"/>
    <s v="카드결제"/>
    <n v="16600"/>
    <m/>
    <x v="32"/>
    <n v="820380"/>
    <x v="14"/>
    <x v="7"/>
    <x v="48"/>
    <x v="5"/>
  </r>
  <r>
    <x v="48"/>
    <s v="10:04:43"/>
    <s v="카드결제"/>
    <n v="4200"/>
    <m/>
    <x v="33"/>
    <n v="816180"/>
    <x v="6"/>
    <x v="5"/>
    <x v="48"/>
    <x v="16"/>
  </r>
  <r>
    <x v="48"/>
    <s v="11:39:09"/>
    <s v="카드결제"/>
    <n v="3100"/>
    <m/>
    <x v="67"/>
    <n v="813080"/>
    <x v="10"/>
    <x v="0"/>
    <x v="48"/>
    <x v="21"/>
  </r>
  <r>
    <x v="48"/>
    <s v="12:08:47"/>
    <s v="카드결제"/>
    <n v="18400"/>
    <m/>
    <x v="21"/>
    <n v="794680"/>
    <x v="8"/>
    <x v="5"/>
    <x v="48"/>
    <x v="15"/>
  </r>
  <r>
    <x v="48"/>
    <s v="15:12:24"/>
    <s v="카드결제"/>
    <n v="2600"/>
    <m/>
    <x v="18"/>
    <n v="792080"/>
    <x v="8"/>
    <x v="5"/>
    <x v="48"/>
    <x v="9"/>
  </r>
  <r>
    <x v="48"/>
    <s v="18:03:45"/>
    <s v="카드결제"/>
    <n v="30700"/>
    <m/>
    <x v="35"/>
    <n v="761380"/>
    <x v="14"/>
    <x v="7"/>
    <x v="48"/>
    <x v="3"/>
  </r>
  <r>
    <x v="48"/>
    <s v="22:43:22"/>
    <s v="카드결제"/>
    <n v="9700"/>
    <m/>
    <x v="30"/>
    <n v="751680"/>
    <x v="1"/>
    <x v="0"/>
    <x v="48"/>
    <x v="11"/>
  </r>
  <r>
    <x v="48"/>
    <s v="22:48:56"/>
    <s v="카드결제"/>
    <n v="7000"/>
    <m/>
    <x v="0"/>
    <n v="744680"/>
    <x v="0"/>
    <x v="0"/>
    <x v="48"/>
    <x v="11"/>
  </r>
  <r>
    <x v="49"/>
    <s v="15:12:17"/>
    <s v="카드결제"/>
    <n v="3700"/>
    <m/>
    <x v="24"/>
    <n v="740980"/>
    <x v="11"/>
    <x v="0"/>
    <x v="49"/>
    <x v="9"/>
  </r>
  <r>
    <x v="49"/>
    <s v="21:15:01"/>
    <s v="카드결제"/>
    <n v="12500"/>
    <m/>
    <x v="68"/>
    <n v="728480"/>
    <x v="1"/>
    <x v="0"/>
    <x v="49"/>
    <x v="6"/>
  </r>
  <r>
    <x v="50"/>
    <s v="02:43:49"/>
    <s v="카드결제"/>
    <n v="1500"/>
    <m/>
    <x v="10"/>
    <n v="726980"/>
    <x v="6"/>
    <x v="5"/>
    <x v="50"/>
    <x v="7"/>
  </r>
  <r>
    <x v="50"/>
    <s v="15:57:33"/>
    <s v="카드결제"/>
    <n v="7600"/>
    <m/>
    <x v="24"/>
    <n v="719380"/>
    <x v="11"/>
    <x v="0"/>
    <x v="50"/>
    <x v="9"/>
  </r>
  <r>
    <x v="50"/>
    <s v="16:22:25"/>
    <s v="카드결제"/>
    <n v="2900"/>
    <m/>
    <x v="0"/>
    <n v="716480"/>
    <x v="0"/>
    <x v="0"/>
    <x v="50"/>
    <x v="1"/>
  </r>
  <r>
    <x v="51"/>
    <s v="16:22:00"/>
    <s v="카드결제"/>
    <n v="7000"/>
    <m/>
    <x v="21"/>
    <n v="709480"/>
    <x v="8"/>
    <x v="5"/>
    <x v="51"/>
    <x v="1"/>
  </r>
  <r>
    <x v="51"/>
    <s v="16:34:04"/>
    <s v="카드결제"/>
    <n v="5000"/>
    <m/>
    <x v="18"/>
    <n v="704480"/>
    <x v="8"/>
    <x v="5"/>
    <x v="51"/>
    <x v="1"/>
  </r>
  <r>
    <x v="51"/>
    <s v="20:38:10"/>
    <s v="카드결제"/>
    <n v="216400"/>
    <m/>
    <x v="69"/>
    <n v="488080"/>
    <x v="9"/>
    <x v="5"/>
    <x v="51"/>
    <x v="2"/>
  </r>
  <r>
    <x v="52"/>
    <d v="1899-12-30T10:02:20"/>
    <s v="계좌이체"/>
    <m/>
    <n v="2271000"/>
    <x v="38"/>
    <n v="2759080"/>
    <x v="16"/>
    <x v="2"/>
    <x v="52"/>
    <x v="16"/>
  </r>
  <r>
    <x v="52"/>
    <d v="1899-12-30T10:15:32"/>
    <s v="계좌이체"/>
    <n v="450000"/>
    <m/>
    <x v="39"/>
    <n v="2309080"/>
    <x v="17"/>
    <x v="9"/>
    <x v="52"/>
    <x v="16"/>
  </r>
  <r>
    <x v="52"/>
    <s v="15:49:04"/>
    <s v="카드결제"/>
    <n v="4600"/>
    <m/>
    <x v="24"/>
    <n v="2304480"/>
    <x v="11"/>
    <x v="0"/>
    <x v="52"/>
    <x v="9"/>
  </r>
  <r>
    <x v="52"/>
    <s v="18:50:28"/>
    <s v="보험"/>
    <n v="39600"/>
    <m/>
    <x v="44"/>
    <n v="2264880"/>
    <x v="20"/>
    <x v="10"/>
    <x v="52"/>
    <x v="3"/>
  </r>
  <r>
    <x v="52"/>
    <s v="19:34:44"/>
    <s v="계좌이체"/>
    <n v="32100"/>
    <m/>
    <x v="45"/>
    <n v="2232780"/>
    <x v="21"/>
    <x v="4"/>
    <x v="52"/>
    <x v="4"/>
  </r>
  <r>
    <x v="52"/>
    <s v="21:36:54"/>
    <s v="카드결제"/>
    <n v="9200"/>
    <m/>
    <x v="50"/>
    <n v="2223580"/>
    <x v="1"/>
    <x v="0"/>
    <x v="52"/>
    <x v="6"/>
  </r>
  <r>
    <x v="52"/>
    <s v="21:53:52"/>
    <s v="카드결제"/>
    <n v="4500"/>
    <m/>
    <x v="0"/>
    <n v="2219080"/>
    <x v="0"/>
    <x v="0"/>
    <x v="52"/>
    <x v="6"/>
  </r>
  <r>
    <x v="52"/>
    <s v="23:39:17"/>
    <s v="모바일결제"/>
    <n v="739300"/>
    <m/>
    <x v="43"/>
    <n v="1479780"/>
    <x v="19"/>
    <x v="6"/>
    <x v="52"/>
    <x v="10"/>
  </r>
  <r>
    <x v="52"/>
    <s v="23:44:01"/>
    <s v="모바일결제"/>
    <n v="127600"/>
    <m/>
    <x v="42"/>
    <n v="1352180"/>
    <x v="19"/>
    <x v="6"/>
    <x v="52"/>
    <x v="10"/>
  </r>
  <r>
    <x v="53"/>
    <s v="01:20:08"/>
    <s v="모바일결제"/>
    <n v="17700"/>
    <m/>
    <x v="42"/>
    <n v="1334480"/>
    <x v="19"/>
    <x v="6"/>
    <x v="53"/>
    <x v="22"/>
  </r>
  <r>
    <x v="53"/>
    <s v="17:13:08"/>
    <s v="카드결제"/>
    <n v="4200"/>
    <m/>
    <x v="24"/>
    <n v="1330280"/>
    <x v="11"/>
    <x v="0"/>
    <x v="53"/>
    <x v="12"/>
  </r>
  <r>
    <x v="53"/>
    <s v="19:55:54"/>
    <s v="카드결제"/>
    <n v="3800"/>
    <m/>
    <x v="20"/>
    <n v="1326480"/>
    <x v="10"/>
    <x v="0"/>
    <x v="53"/>
    <x v="4"/>
  </r>
  <r>
    <x v="54"/>
    <s v="07:19:36"/>
    <s v="보험"/>
    <n v="16700"/>
    <m/>
    <x v="54"/>
    <n v="1309780"/>
    <x v="23"/>
    <x v="10"/>
    <x v="54"/>
    <x v="19"/>
  </r>
  <r>
    <x v="54"/>
    <s v="07:22:32"/>
    <s v="통신"/>
    <n v="1900"/>
    <m/>
    <x v="47"/>
    <n v="1307880"/>
    <x v="22"/>
    <x v="11"/>
    <x v="54"/>
    <x v="19"/>
  </r>
  <r>
    <x v="54"/>
    <s v="22:08:52"/>
    <s v="카드결제"/>
    <n v="2800"/>
    <m/>
    <x v="0"/>
    <n v="1305080"/>
    <x v="0"/>
    <x v="0"/>
    <x v="54"/>
    <x v="11"/>
  </r>
  <r>
    <x v="55"/>
    <s v="10:00:09"/>
    <s v="카드결제"/>
    <n v="43500"/>
    <m/>
    <x v="29"/>
    <n v="1261580"/>
    <x v="9"/>
    <x v="5"/>
    <x v="55"/>
    <x v="16"/>
  </r>
  <r>
    <x v="55"/>
    <s v="13:28:30"/>
    <s v="카드결제"/>
    <n v="221800"/>
    <m/>
    <x v="70"/>
    <n v="1039780"/>
    <x v="24"/>
    <x v="5"/>
    <x v="55"/>
    <x v="20"/>
  </r>
  <r>
    <x v="55"/>
    <s v="13:53:06"/>
    <s v="카드결제"/>
    <n v="26100"/>
    <m/>
    <x v="51"/>
    <n v="1013680"/>
    <x v="11"/>
    <x v="0"/>
    <x v="55"/>
    <x v="20"/>
  </r>
  <r>
    <x v="55"/>
    <s v="19:26:33"/>
    <s v="카드결제"/>
    <n v="5400"/>
    <m/>
    <x v="24"/>
    <n v="1008280"/>
    <x v="11"/>
    <x v="0"/>
    <x v="55"/>
    <x v="4"/>
  </r>
  <r>
    <x v="55"/>
    <s v="20:55:59"/>
    <s v="카드결제"/>
    <n v="6800"/>
    <m/>
    <x v="7"/>
    <n v="1001480"/>
    <x v="1"/>
    <x v="0"/>
    <x v="55"/>
    <x v="2"/>
  </r>
  <r>
    <x v="56"/>
    <s v="15:13:57"/>
    <s v="카드결제"/>
    <n v="10300"/>
    <m/>
    <x v="28"/>
    <n v="991180"/>
    <x v="1"/>
    <x v="0"/>
    <x v="56"/>
    <x v="9"/>
  </r>
  <r>
    <x v="56"/>
    <s v="15:19:12"/>
    <s v="카드결제"/>
    <n v="13900"/>
    <m/>
    <x v="0"/>
    <n v="977280"/>
    <x v="0"/>
    <x v="0"/>
    <x v="56"/>
    <x v="9"/>
  </r>
  <r>
    <x v="56"/>
    <s v="22:18:44"/>
    <s v="카드결제"/>
    <n v="4500"/>
    <m/>
    <x v="0"/>
    <n v="972780"/>
    <x v="0"/>
    <x v="0"/>
    <x v="56"/>
    <x v="11"/>
  </r>
  <r>
    <x v="57"/>
    <s v="14:24:34"/>
    <s v="카드결제"/>
    <n v="5600"/>
    <m/>
    <x v="10"/>
    <n v="967180"/>
    <x v="6"/>
    <x v="5"/>
    <x v="57"/>
    <x v="14"/>
  </r>
  <r>
    <x v="58"/>
    <s v="00:35:20"/>
    <s v="계좌이체"/>
    <m/>
    <n v="217920"/>
    <x v="4"/>
    <n v="1185100"/>
    <x v="3"/>
    <x v="2"/>
    <x v="58"/>
    <x v="0"/>
  </r>
  <r>
    <x v="58"/>
    <s v="01:30:36"/>
    <s v="카드결제"/>
    <n v="18500"/>
    <m/>
    <x v="57"/>
    <n v="1166600"/>
    <x v="2"/>
    <x v="1"/>
    <x v="58"/>
    <x v="22"/>
  </r>
  <r>
    <x v="58"/>
    <s v="11:50:50"/>
    <s v="카드결제"/>
    <n v="135800"/>
    <m/>
    <x v="32"/>
    <n v="1030800"/>
    <x v="14"/>
    <x v="7"/>
    <x v="58"/>
    <x v="21"/>
  </r>
  <r>
    <x v="58"/>
    <s v="12:35:32"/>
    <s v="카드결제"/>
    <n v="4100"/>
    <m/>
    <x v="18"/>
    <n v="1026700"/>
    <x v="8"/>
    <x v="5"/>
    <x v="58"/>
    <x v="15"/>
  </r>
  <r>
    <x v="58"/>
    <s v="18:08:07"/>
    <s v="카드결제"/>
    <n v="13700"/>
    <m/>
    <x v="6"/>
    <n v="1013000"/>
    <x v="4"/>
    <x v="3"/>
    <x v="58"/>
    <x v="3"/>
  </r>
  <r>
    <x v="59"/>
    <s v="17:55:38"/>
    <s v="카드결제"/>
    <n v="4400"/>
    <m/>
    <x v="24"/>
    <n v="1008600"/>
    <x v="11"/>
    <x v="0"/>
    <x v="59"/>
    <x v="12"/>
  </r>
  <r>
    <x v="60"/>
    <s v="14:39:45"/>
    <s v="카드결제"/>
    <n v="6000"/>
    <m/>
    <x v="51"/>
    <n v="1002600"/>
    <x v="11"/>
    <x v="0"/>
    <x v="60"/>
    <x v="14"/>
  </r>
  <r>
    <x v="60"/>
    <s v="22:37:54"/>
    <s v="카드결제"/>
    <n v="12500"/>
    <m/>
    <x v="0"/>
    <n v="990100"/>
    <x v="0"/>
    <x v="0"/>
    <x v="60"/>
    <x v="11"/>
  </r>
  <r>
    <x v="61"/>
    <s v="00:22:22"/>
    <s v="카드결제"/>
    <n v="4500"/>
    <m/>
    <x v="0"/>
    <n v="985600"/>
    <x v="0"/>
    <x v="0"/>
    <x v="61"/>
    <x v="0"/>
  </r>
  <r>
    <x v="61"/>
    <s v="13:56:06"/>
    <s v="계좌이체"/>
    <m/>
    <n v="5562000"/>
    <x v="71"/>
    <n v="6547600"/>
    <x v="17"/>
    <x v="9"/>
    <x v="61"/>
    <x v="20"/>
  </r>
  <r>
    <x v="61"/>
    <d v="1899-12-30T17:56:06"/>
    <s v="계좌이체"/>
    <n v="5562000"/>
    <m/>
    <x v="72"/>
    <n v="985600"/>
    <x v="17"/>
    <x v="9"/>
    <x v="61"/>
    <x v="12"/>
  </r>
  <r>
    <x v="62"/>
    <s v="08:24:46"/>
    <s v="카드결제"/>
    <n v="10500"/>
    <m/>
    <x v="10"/>
    <n v="975100"/>
    <x v="6"/>
    <x v="5"/>
    <x v="62"/>
    <x v="8"/>
  </r>
  <r>
    <x v="62"/>
    <s v="13:56:06"/>
    <s v="카드결제"/>
    <n v="5500"/>
    <m/>
    <x v="7"/>
    <n v="969600"/>
    <x v="1"/>
    <x v="0"/>
    <x v="62"/>
    <x v="20"/>
  </r>
  <r>
    <x v="62"/>
    <s v="14:24:18"/>
    <s v="카드결제"/>
    <n v="5000"/>
    <m/>
    <x v="24"/>
    <n v="964600"/>
    <x v="11"/>
    <x v="0"/>
    <x v="62"/>
    <x v="14"/>
  </r>
  <r>
    <x v="62"/>
    <s v="14:43:18"/>
    <s v="모바일결제"/>
    <n v="81400"/>
    <m/>
    <x v="47"/>
    <n v="883200"/>
    <x v="22"/>
    <x v="11"/>
    <x v="62"/>
    <x v="14"/>
  </r>
  <r>
    <x v="63"/>
    <s v="00:01:29"/>
    <s v="카드결제"/>
    <n v="2100"/>
    <m/>
    <x v="73"/>
    <n v="881100"/>
    <x v="9"/>
    <x v="5"/>
    <x v="63"/>
    <x v="0"/>
  </r>
  <r>
    <x v="64"/>
    <s v="00:33:47"/>
    <s v="카드결제"/>
    <n v="1900"/>
    <m/>
    <x v="10"/>
    <n v="879200"/>
    <x v="6"/>
    <x v="5"/>
    <x v="64"/>
    <x v="0"/>
  </r>
  <r>
    <x v="64"/>
    <s v="15:04:09"/>
    <s v="카드결제"/>
    <n v="2300"/>
    <m/>
    <x v="18"/>
    <n v="876900"/>
    <x v="8"/>
    <x v="5"/>
    <x v="64"/>
    <x v="9"/>
  </r>
  <r>
    <x v="64"/>
    <s v="16:27:37"/>
    <s v="카드결제"/>
    <n v="5200"/>
    <m/>
    <x v="24"/>
    <n v="871700"/>
    <x v="11"/>
    <x v="0"/>
    <x v="64"/>
    <x v="1"/>
  </r>
  <r>
    <x v="64"/>
    <s v="17:38:27"/>
    <s v="카드결제"/>
    <n v="4600"/>
    <m/>
    <x v="20"/>
    <n v="867100"/>
    <x v="10"/>
    <x v="0"/>
    <x v="64"/>
    <x v="12"/>
  </r>
  <r>
    <x v="65"/>
    <s v="13:44:56"/>
    <s v="카드결제"/>
    <n v="16000"/>
    <m/>
    <x v="74"/>
    <n v="851100"/>
    <x v="1"/>
    <x v="0"/>
    <x v="65"/>
    <x v="20"/>
  </r>
  <r>
    <x v="65"/>
    <s v="14:41:24"/>
    <s v="카드결제"/>
    <n v="1100"/>
    <m/>
    <x v="36"/>
    <n v="850000"/>
    <x v="9"/>
    <x v="5"/>
    <x v="65"/>
    <x v="14"/>
  </r>
  <r>
    <x v="65"/>
    <s v="17:57:19"/>
    <s v="카드결제"/>
    <n v="12100"/>
    <m/>
    <x v="21"/>
    <n v="837900"/>
    <x v="8"/>
    <x v="5"/>
    <x v="65"/>
    <x v="12"/>
  </r>
  <r>
    <x v="65"/>
    <s v="18:07:34"/>
    <s v="카드결제"/>
    <n v="6500"/>
    <m/>
    <x v="0"/>
    <n v="831400"/>
    <x v="0"/>
    <x v="0"/>
    <x v="65"/>
    <x v="3"/>
  </r>
  <r>
    <x v="65"/>
    <s v="18:32:21"/>
    <s v="모바일결제"/>
    <n v="78000"/>
    <m/>
    <x v="21"/>
    <n v="753400"/>
    <x v="8"/>
    <x v="5"/>
    <x v="65"/>
    <x v="3"/>
  </r>
  <r>
    <x v="66"/>
    <s v="02:44:59"/>
    <s v="카드결제"/>
    <n v="33300"/>
    <m/>
    <x v="29"/>
    <n v="720100"/>
    <x v="9"/>
    <x v="5"/>
    <x v="66"/>
    <x v="7"/>
  </r>
  <r>
    <x v="66"/>
    <s v="12:41:10"/>
    <s v="계좌이체"/>
    <n v="16800"/>
    <m/>
    <x v="75"/>
    <n v="703300"/>
    <x v="1"/>
    <x v="0"/>
    <x v="66"/>
    <x v="15"/>
  </r>
  <r>
    <x v="66"/>
    <s v="18:01:22"/>
    <s v="카드결제"/>
    <n v="5400"/>
    <m/>
    <x v="24"/>
    <n v="697900"/>
    <x v="11"/>
    <x v="0"/>
    <x v="66"/>
    <x v="3"/>
  </r>
  <r>
    <x v="67"/>
    <s v="15:09:43"/>
    <s v="카드결제"/>
    <n v="3900"/>
    <m/>
    <x v="24"/>
    <n v="694000"/>
    <x v="11"/>
    <x v="0"/>
    <x v="67"/>
    <x v="9"/>
  </r>
  <r>
    <x v="67"/>
    <s v="15:26:01"/>
    <s v="카드결제"/>
    <n v="169500"/>
    <m/>
    <x v="76"/>
    <n v="524500"/>
    <x v="25"/>
    <x v="0"/>
    <x v="67"/>
    <x v="9"/>
  </r>
  <r>
    <x v="68"/>
    <s v="15:29:59"/>
    <s v="카드결제"/>
    <n v="4700"/>
    <m/>
    <x v="24"/>
    <n v="519800"/>
    <x v="11"/>
    <x v="0"/>
    <x v="68"/>
    <x v="9"/>
  </r>
  <r>
    <x v="68"/>
    <s v="15:31:47"/>
    <s v="카드결제"/>
    <n v="53900"/>
    <m/>
    <x v="9"/>
    <n v="465900"/>
    <x v="5"/>
    <x v="4"/>
    <x v="68"/>
    <x v="9"/>
  </r>
  <r>
    <x v="68"/>
    <s v="17:10:23"/>
    <s v="모바일결제"/>
    <n v="205600"/>
    <m/>
    <x v="25"/>
    <n v="260300"/>
    <x v="12"/>
    <x v="7"/>
    <x v="68"/>
    <x v="12"/>
  </r>
  <r>
    <x v="68"/>
    <s v="23:03:39"/>
    <s v="카드결제"/>
    <n v="1800"/>
    <m/>
    <x v="0"/>
    <n v="258500"/>
    <x v="0"/>
    <x v="0"/>
    <x v="68"/>
    <x v="10"/>
  </r>
  <r>
    <x v="69"/>
    <s v="15:20:34"/>
    <s v="카드결제"/>
    <n v="14600"/>
    <m/>
    <x v="28"/>
    <n v="243900"/>
    <x v="1"/>
    <x v="0"/>
    <x v="69"/>
    <x v="9"/>
  </r>
  <r>
    <x v="69"/>
    <s v="15:24:48"/>
    <s v="카드결제"/>
    <n v="4400"/>
    <m/>
    <x v="77"/>
    <n v="239500"/>
    <x v="13"/>
    <x v="8"/>
    <x v="69"/>
    <x v="9"/>
  </r>
  <r>
    <x v="69"/>
    <s v="15:34:28"/>
    <s v="계좌이체"/>
    <n v="11100"/>
    <m/>
    <x v="22"/>
    <n v="228400"/>
    <x v="9"/>
    <x v="5"/>
    <x v="69"/>
    <x v="9"/>
  </r>
  <r>
    <x v="69"/>
    <s v="15:37:22"/>
    <s v="카드결제"/>
    <n v="7000"/>
    <m/>
    <x v="15"/>
    <n v="221400"/>
    <x v="1"/>
    <x v="0"/>
    <x v="69"/>
    <x v="9"/>
  </r>
  <r>
    <x v="69"/>
    <s v="16:58:28"/>
    <s v="카드결제"/>
    <n v="4800"/>
    <m/>
    <x v="24"/>
    <n v="216600"/>
    <x v="11"/>
    <x v="0"/>
    <x v="69"/>
    <x v="1"/>
  </r>
  <r>
    <x v="70"/>
    <s v="16:05:00"/>
    <s v="카드결제"/>
    <n v="14000"/>
    <m/>
    <x v="28"/>
    <n v="202600"/>
    <x v="1"/>
    <x v="0"/>
    <x v="70"/>
    <x v="1"/>
  </r>
  <r>
    <x v="70"/>
    <s v="16:41:30"/>
    <s v="카드결제"/>
    <n v="7800"/>
    <m/>
    <x v="78"/>
    <n v="194800"/>
    <x v="1"/>
    <x v="0"/>
    <x v="70"/>
    <x v="1"/>
  </r>
  <r>
    <x v="70"/>
    <s v="16:47:06"/>
    <s v="계좌이체"/>
    <n v="9600"/>
    <m/>
    <x v="79"/>
    <n v="185200"/>
    <x v="11"/>
    <x v="0"/>
    <x v="70"/>
    <x v="1"/>
  </r>
  <r>
    <x v="70"/>
    <s v="16:56:51"/>
    <s v="카드결제"/>
    <n v="6300"/>
    <m/>
    <x v="0"/>
    <n v="178900"/>
    <x v="0"/>
    <x v="0"/>
    <x v="70"/>
    <x v="1"/>
  </r>
  <r>
    <x v="71"/>
    <s v="16:47:38"/>
    <s v="계좌이체"/>
    <n v="21800"/>
    <m/>
    <x v="80"/>
    <n v="157100"/>
    <x v="1"/>
    <x v="0"/>
    <x v="71"/>
    <x v="1"/>
  </r>
  <r>
    <x v="72"/>
    <s v="18:34:10"/>
    <s v="카드결제"/>
    <n v="6200"/>
    <m/>
    <x v="16"/>
    <n v="150900"/>
    <x v="1"/>
    <x v="0"/>
    <x v="72"/>
    <x v="3"/>
  </r>
  <r>
    <x v="72"/>
    <s v="18:36:06"/>
    <s v="카드결제"/>
    <n v="4100"/>
    <m/>
    <x v="24"/>
    <n v="146800"/>
    <x v="11"/>
    <x v="0"/>
    <x v="72"/>
    <x v="3"/>
  </r>
  <r>
    <x v="73"/>
    <s v="18:12:06"/>
    <s v="카드결제"/>
    <n v="5300"/>
    <m/>
    <x v="0"/>
    <n v="141500"/>
    <x v="0"/>
    <x v="0"/>
    <x v="73"/>
    <x v="3"/>
  </r>
  <r>
    <x v="74"/>
    <s v="09:17:29"/>
    <s v="카드결제"/>
    <n v="16200"/>
    <m/>
    <x v="32"/>
    <n v="125300"/>
    <x v="14"/>
    <x v="7"/>
    <x v="74"/>
    <x v="5"/>
  </r>
  <r>
    <x v="74"/>
    <s v="10:07:07"/>
    <s v="카드결제"/>
    <n v="4100"/>
    <m/>
    <x v="33"/>
    <n v="121200"/>
    <x v="6"/>
    <x v="5"/>
    <x v="74"/>
    <x v="16"/>
  </r>
  <r>
    <x v="74"/>
    <s v="18:03:40"/>
    <s v="카드결제"/>
    <n v="40200"/>
    <m/>
    <x v="35"/>
    <n v="81000"/>
    <x v="14"/>
    <x v="7"/>
    <x v="74"/>
    <x v="3"/>
  </r>
  <r>
    <x v="74"/>
    <s v="18:34:30"/>
    <s v="카드결제"/>
    <n v="5200"/>
    <m/>
    <x v="79"/>
    <n v="75800"/>
    <x v="11"/>
    <x v="0"/>
    <x v="74"/>
    <x v="3"/>
  </r>
  <r>
    <x v="74"/>
    <s v="22:47:32"/>
    <s v="카드결제"/>
    <n v="7200"/>
    <m/>
    <x v="0"/>
    <n v="68600"/>
    <x v="0"/>
    <x v="0"/>
    <x v="74"/>
    <x v="11"/>
  </r>
  <r>
    <x v="75"/>
    <s v="02:43:49"/>
    <s v="카드결제"/>
    <n v="1700"/>
    <m/>
    <x v="10"/>
    <n v="66900"/>
    <x v="6"/>
    <x v="5"/>
    <x v="75"/>
    <x v="7"/>
  </r>
  <r>
    <x v="75"/>
    <s v="14:58:57"/>
    <s v="계좌이체"/>
    <n v="8800"/>
    <m/>
    <x v="81"/>
    <n v="58100"/>
    <x v="11"/>
    <x v="0"/>
    <x v="75"/>
    <x v="14"/>
  </r>
  <r>
    <x v="75"/>
    <s v="15:00:31"/>
    <s v="계좌이체"/>
    <n v="17000"/>
    <m/>
    <x v="82"/>
    <n v="41100"/>
    <x v="1"/>
    <x v="0"/>
    <x v="75"/>
    <x v="9"/>
  </r>
  <r>
    <x v="75"/>
    <s v="20:36:54"/>
    <s v="카드결제"/>
    <n v="10500"/>
    <m/>
    <x v="9"/>
    <n v="30600"/>
    <x v="5"/>
    <x v="4"/>
    <x v="75"/>
    <x v="2"/>
  </r>
  <r>
    <x v="75"/>
    <s v="21:48:43"/>
    <s v="계좌이체"/>
    <n v="17600"/>
    <m/>
    <x v="20"/>
    <n v="13000"/>
    <x v="10"/>
    <x v="0"/>
    <x v="75"/>
    <x v="6"/>
  </r>
  <r>
    <x v="76"/>
    <d v="1899-12-30T10:15:20"/>
    <s v="계좌이체"/>
    <m/>
    <n v="2825000"/>
    <x v="38"/>
    <n v="2838000"/>
    <x v="16"/>
    <x v="2"/>
    <x v="76"/>
    <x v="16"/>
  </r>
  <r>
    <x v="76"/>
    <d v="1899-12-30T10:15:32"/>
    <s v="계좌이체"/>
    <n v="450000"/>
    <m/>
    <x v="39"/>
    <n v="2388000"/>
    <x v="17"/>
    <x v="9"/>
    <x v="76"/>
    <x v="16"/>
  </r>
  <r>
    <x v="76"/>
    <s v="12:52:57"/>
    <s v="카드결제"/>
    <n v="5300"/>
    <m/>
    <x v="18"/>
    <n v="2382700"/>
    <x v="8"/>
    <x v="5"/>
    <x v="76"/>
    <x v="15"/>
  </r>
  <r>
    <x v="76"/>
    <s v="18:43:08"/>
    <s v="카드결제"/>
    <n v="5200"/>
    <m/>
    <x v="0"/>
    <n v="2377500"/>
    <x v="0"/>
    <x v="0"/>
    <x v="76"/>
    <x v="3"/>
  </r>
  <r>
    <x v="76"/>
    <s v="18:52:42"/>
    <s v="보험"/>
    <n v="42100"/>
    <m/>
    <x v="44"/>
    <n v="2335400"/>
    <x v="20"/>
    <x v="10"/>
    <x v="76"/>
    <x v="3"/>
  </r>
  <r>
    <x v="76"/>
    <s v="19:21:48"/>
    <s v="계좌이체"/>
    <n v="26400"/>
    <m/>
    <x v="45"/>
    <n v="2309000"/>
    <x v="21"/>
    <x v="4"/>
    <x v="76"/>
    <x v="4"/>
  </r>
  <r>
    <x v="76"/>
    <s v="21:52:03"/>
    <s v="카드결제"/>
    <n v="1500"/>
    <m/>
    <x v="0"/>
    <n v="2307500"/>
    <x v="0"/>
    <x v="0"/>
    <x v="76"/>
    <x v="6"/>
  </r>
  <r>
    <x v="76"/>
    <s v="22:38:33"/>
    <s v="모바일결제"/>
    <n v="101500"/>
    <m/>
    <x v="42"/>
    <n v="2206000"/>
    <x v="19"/>
    <x v="6"/>
    <x v="76"/>
    <x v="11"/>
  </r>
  <r>
    <x v="76"/>
    <s v="22:39:56"/>
    <s v="모바일결제"/>
    <n v="805200"/>
    <m/>
    <x v="43"/>
    <n v="1400800"/>
    <x v="19"/>
    <x v="6"/>
    <x v="76"/>
    <x v="11"/>
  </r>
  <r>
    <x v="76"/>
    <s v="22:41:00"/>
    <s v="모바일결제"/>
    <n v="15500"/>
    <m/>
    <x v="42"/>
    <n v="1385300"/>
    <x v="19"/>
    <x v="6"/>
    <x v="76"/>
    <x v="11"/>
  </r>
  <r>
    <x v="77"/>
    <s v="18:44:02"/>
    <s v="카드결제"/>
    <n v="21600"/>
    <m/>
    <x v="9"/>
    <n v="1363700"/>
    <x v="5"/>
    <x v="4"/>
    <x v="77"/>
    <x v="3"/>
  </r>
  <r>
    <x v="77"/>
    <s v="19:25:53"/>
    <s v="카드결제"/>
    <n v="4500"/>
    <m/>
    <x v="20"/>
    <n v="1359200"/>
    <x v="10"/>
    <x v="0"/>
    <x v="77"/>
    <x v="4"/>
  </r>
  <r>
    <x v="77"/>
    <s v="19:28:30"/>
    <s v="카드결제"/>
    <n v="1900"/>
    <m/>
    <x v="0"/>
    <n v="1357300"/>
    <x v="0"/>
    <x v="0"/>
    <x v="77"/>
    <x v="4"/>
  </r>
  <r>
    <x v="78"/>
    <s v="21:12:42"/>
    <s v="카드결제"/>
    <n v="6200"/>
    <m/>
    <x v="0"/>
    <n v="1351100"/>
    <x v="0"/>
    <x v="0"/>
    <x v="78"/>
    <x v="6"/>
  </r>
  <r>
    <x v="79"/>
    <s v="07:00:35"/>
    <s v="통신"/>
    <n v="1800"/>
    <m/>
    <x v="47"/>
    <n v="1349300"/>
    <x v="22"/>
    <x v="11"/>
    <x v="79"/>
    <x v="19"/>
  </r>
  <r>
    <x v="79"/>
    <s v="15:05:22"/>
    <s v="카드결제"/>
    <n v="10500"/>
    <m/>
    <x v="77"/>
    <n v="1338800"/>
    <x v="13"/>
    <x v="8"/>
    <x v="79"/>
    <x v="9"/>
  </r>
  <r>
    <x v="79"/>
    <s v="15:33:18"/>
    <s v="카드결제"/>
    <n v="4500"/>
    <m/>
    <x v="24"/>
    <n v="1334300"/>
    <x v="11"/>
    <x v="0"/>
    <x v="79"/>
    <x v="9"/>
  </r>
  <r>
    <x v="79"/>
    <s v="16:47:42"/>
    <s v="카드결제"/>
    <n v="1400"/>
    <m/>
    <x v="18"/>
    <n v="1332900"/>
    <x v="8"/>
    <x v="5"/>
    <x v="79"/>
    <x v="1"/>
  </r>
  <r>
    <x v="80"/>
    <s v="13:34:15"/>
    <s v="카드결제"/>
    <n v="4000"/>
    <m/>
    <x v="24"/>
    <n v="1328900"/>
    <x v="11"/>
    <x v="0"/>
    <x v="80"/>
    <x v="20"/>
  </r>
  <r>
    <x v="81"/>
    <s v="16:50:07"/>
    <s v="카드결제"/>
    <n v="6600"/>
    <m/>
    <x v="0"/>
    <n v="1322300"/>
    <x v="0"/>
    <x v="0"/>
    <x v="81"/>
    <x v="1"/>
  </r>
  <r>
    <x v="81"/>
    <s v="16:52:39"/>
    <s v="카드결제"/>
    <n v="5300"/>
    <m/>
    <x v="7"/>
    <n v="1317000"/>
    <x v="1"/>
    <x v="0"/>
    <x v="81"/>
    <x v="1"/>
  </r>
  <r>
    <x v="81"/>
    <s v="17:35:59"/>
    <s v="카드결제"/>
    <n v="3900"/>
    <m/>
    <x v="24"/>
    <n v="1313100"/>
    <x v="11"/>
    <x v="0"/>
    <x v="81"/>
    <x v="12"/>
  </r>
  <r>
    <x v="81"/>
    <s v="22:30:11"/>
    <s v="계좌이체"/>
    <n v="9500"/>
    <m/>
    <x v="24"/>
    <n v="1303600"/>
    <x v="11"/>
    <x v="0"/>
    <x v="81"/>
    <x v="11"/>
  </r>
  <r>
    <x v="82"/>
    <s v="01:17:10"/>
    <s v="카드결제"/>
    <n v="4000"/>
    <m/>
    <x v="0"/>
    <n v="1299600"/>
    <x v="0"/>
    <x v="0"/>
    <x v="82"/>
    <x v="22"/>
  </r>
  <r>
    <x v="82"/>
    <s v="07:02:08"/>
    <s v="보험"/>
    <n v="18000"/>
    <m/>
    <x v="54"/>
    <n v="1281600"/>
    <x v="23"/>
    <x v="10"/>
    <x v="82"/>
    <x v="19"/>
  </r>
  <r>
    <x v="82"/>
    <s v="09:41:00"/>
    <s v="카드결제"/>
    <n v="5800"/>
    <m/>
    <x v="0"/>
    <n v="1275800"/>
    <x v="0"/>
    <x v="0"/>
    <x v="82"/>
    <x v="5"/>
  </r>
  <r>
    <x v="82"/>
    <s v="09:43:18"/>
    <s v="카드결제"/>
    <n v="3100"/>
    <m/>
    <x v="20"/>
    <n v="1272700"/>
    <x v="10"/>
    <x v="0"/>
    <x v="82"/>
    <x v="5"/>
  </r>
  <r>
    <x v="83"/>
    <s v="17:20:39"/>
    <s v="카드결제"/>
    <n v="38900"/>
    <m/>
    <x v="21"/>
    <n v="1233800"/>
    <x v="8"/>
    <x v="5"/>
    <x v="83"/>
    <x v="12"/>
  </r>
  <r>
    <x v="83"/>
    <s v="18:23:59"/>
    <s v="카드결제"/>
    <n v="11200"/>
    <m/>
    <x v="79"/>
    <n v="1222600"/>
    <x v="11"/>
    <x v="0"/>
    <x v="83"/>
    <x v="3"/>
  </r>
  <r>
    <x v="83"/>
    <s v="21:29:15"/>
    <s v="계좌이체"/>
    <n v="11900"/>
    <m/>
    <x v="22"/>
    <n v="1210700"/>
    <x v="9"/>
    <x v="5"/>
    <x v="83"/>
    <x v="6"/>
  </r>
  <r>
    <x v="83"/>
    <s v="21:36:39"/>
    <s v="카드결제"/>
    <n v="7600"/>
    <m/>
    <x v="83"/>
    <n v="1203100"/>
    <x v="11"/>
    <x v="0"/>
    <x v="83"/>
    <x v="6"/>
  </r>
  <r>
    <x v="84"/>
    <s v="18:33:42"/>
    <s v="카드결제"/>
    <n v="5500"/>
    <m/>
    <x v="24"/>
    <n v="1197600"/>
    <x v="11"/>
    <x v="0"/>
    <x v="84"/>
    <x v="3"/>
  </r>
  <r>
    <x v="85"/>
    <s v="14:20:16"/>
    <s v="계좌이체"/>
    <n v="1200"/>
    <m/>
    <x v="22"/>
    <n v="1196400"/>
    <x v="9"/>
    <x v="5"/>
    <x v="85"/>
    <x v="14"/>
  </r>
  <r>
    <x v="85"/>
    <s v="14:24:34"/>
    <s v="카드결제"/>
    <n v="4600"/>
    <m/>
    <x v="10"/>
    <n v="1191800"/>
    <x v="6"/>
    <x v="5"/>
    <x v="85"/>
    <x v="14"/>
  </r>
  <r>
    <x v="85"/>
    <s v="16:49:49"/>
    <s v="카드결제"/>
    <n v="3900"/>
    <m/>
    <x v="73"/>
    <n v="1187900"/>
    <x v="9"/>
    <x v="5"/>
    <x v="85"/>
    <x v="1"/>
  </r>
  <r>
    <x v="85"/>
    <s v="17:23:31"/>
    <s v="카드결제"/>
    <n v="3100"/>
    <m/>
    <x v="0"/>
    <n v="1184800"/>
    <x v="0"/>
    <x v="0"/>
    <x v="85"/>
    <x v="12"/>
  </r>
  <r>
    <x v="85"/>
    <s v="17:25:47"/>
    <s v="카드결제"/>
    <n v="2400"/>
    <m/>
    <x v="18"/>
    <n v="1182400"/>
    <x v="8"/>
    <x v="5"/>
    <x v="85"/>
    <x v="12"/>
  </r>
  <r>
    <x v="86"/>
    <s v="00:35:20"/>
    <s v="계좌이체"/>
    <m/>
    <n v="366860"/>
    <x v="4"/>
    <n v="1549260"/>
    <x v="3"/>
    <x v="2"/>
    <x v="86"/>
    <x v="0"/>
  </r>
  <r>
    <x v="86"/>
    <s v="19:43:32"/>
    <s v="카드결제"/>
    <n v="6400"/>
    <m/>
    <x v="7"/>
    <n v="1542860"/>
    <x v="1"/>
    <x v="0"/>
    <x v="86"/>
    <x v="4"/>
  </r>
  <r>
    <x v="87"/>
    <s v="18:06:58"/>
    <s v="카드결제"/>
    <n v="5700"/>
    <m/>
    <x v="6"/>
    <n v="1537160"/>
    <x v="4"/>
    <x v="3"/>
    <x v="87"/>
    <x v="3"/>
  </r>
  <r>
    <x v="88"/>
    <s v="17:07:50"/>
    <s v="카드결제"/>
    <n v="9100"/>
    <m/>
    <x v="0"/>
    <n v="1528060"/>
    <x v="0"/>
    <x v="0"/>
    <x v="88"/>
    <x v="12"/>
  </r>
  <r>
    <x v="89"/>
    <s v="15:59:57"/>
    <s v="카드결제"/>
    <n v="13000"/>
    <m/>
    <x v="59"/>
    <n v="1515060"/>
    <x v="1"/>
    <x v="0"/>
    <x v="89"/>
    <x v="9"/>
  </r>
  <r>
    <x v="89"/>
    <s v="16:08:11"/>
    <s v="카드결제"/>
    <n v="4700"/>
    <m/>
    <x v="24"/>
    <n v="1510360"/>
    <x v="11"/>
    <x v="0"/>
    <x v="89"/>
    <x v="1"/>
  </r>
  <r>
    <x v="90"/>
    <s v="07:24:45"/>
    <s v="카드결제"/>
    <n v="10300"/>
    <m/>
    <x v="10"/>
    <n v="1500060"/>
    <x v="6"/>
    <x v="5"/>
    <x v="90"/>
    <x v="19"/>
  </r>
  <r>
    <x v="90"/>
    <s v="11:54:05"/>
    <s v="모바일결제"/>
    <n v="230000"/>
    <m/>
    <x v="84"/>
    <n v="1270060"/>
    <x v="26"/>
    <x v="12"/>
    <x v="90"/>
    <x v="21"/>
  </r>
  <r>
    <x v="90"/>
    <s v="17:19:00"/>
    <s v="카드결제"/>
    <n v="6400"/>
    <m/>
    <x v="29"/>
    <n v="1263660"/>
    <x v="9"/>
    <x v="5"/>
    <x v="90"/>
    <x v="12"/>
  </r>
  <r>
    <x v="90"/>
    <s v="17:48:44"/>
    <s v="카드결제"/>
    <n v="4100"/>
    <m/>
    <x v="24"/>
    <n v="1259560"/>
    <x v="11"/>
    <x v="0"/>
    <x v="90"/>
    <x v="12"/>
  </r>
  <r>
    <x v="91"/>
    <s v="17:30:39"/>
    <s v="카드결제"/>
    <n v="4100"/>
    <m/>
    <x v="24"/>
    <n v="1255460"/>
    <x v="11"/>
    <x v="0"/>
    <x v="91"/>
    <x v="12"/>
  </r>
  <r>
    <x v="91"/>
    <s v="17:38:39"/>
    <s v="카드결제"/>
    <n v="18400"/>
    <m/>
    <x v="29"/>
    <n v="1237060"/>
    <x v="9"/>
    <x v="5"/>
    <x v="91"/>
    <x v="12"/>
  </r>
  <r>
    <x v="92"/>
    <s v="00:33:47"/>
    <s v="카드결제"/>
    <n v="2200"/>
    <m/>
    <x v="10"/>
    <n v="1234860"/>
    <x v="6"/>
    <x v="5"/>
    <x v="92"/>
    <x v="0"/>
  </r>
  <r>
    <x v="92"/>
    <s v="15:06:43"/>
    <s v="모바일결제"/>
    <n v="73500"/>
    <m/>
    <x v="47"/>
    <n v="1161360"/>
    <x v="22"/>
    <x v="11"/>
    <x v="92"/>
    <x v="9"/>
  </r>
  <r>
    <x v="92"/>
    <s v="16:52:29"/>
    <s v="카드결제"/>
    <n v="47900"/>
    <m/>
    <x v="85"/>
    <n v="1113460"/>
    <x v="10"/>
    <x v="0"/>
    <x v="92"/>
    <x v="1"/>
  </r>
  <r>
    <x v="92"/>
    <s v="17:19:46"/>
    <s v="카드결제"/>
    <n v="5300"/>
    <m/>
    <x v="86"/>
    <n v="1108160"/>
    <x v="4"/>
    <x v="3"/>
    <x v="92"/>
    <x v="12"/>
  </r>
  <r>
    <x v="93"/>
    <s v="12:53:08"/>
    <s v="카드결제"/>
    <n v="4600"/>
    <m/>
    <x v="29"/>
    <n v="1103560"/>
    <x v="9"/>
    <x v="5"/>
    <x v="93"/>
    <x v="15"/>
  </r>
  <r>
    <x v="93"/>
    <s v="14:11:56"/>
    <s v="카드결제"/>
    <n v="4100"/>
    <m/>
    <x v="24"/>
    <n v="1099460"/>
    <x v="11"/>
    <x v="0"/>
    <x v="93"/>
    <x v="14"/>
  </r>
  <r>
    <x v="93"/>
    <s v="15:18:32"/>
    <s v="카드결제"/>
    <n v="3000"/>
    <m/>
    <x v="24"/>
    <n v="1096460"/>
    <x v="11"/>
    <x v="0"/>
    <x v="93"/>
    <x v="9"/>
  </r>
  <r>
    <x v="94"/>
    <s v="16:33:55"/>
    <s v="카드결제"/>
    <n v="4700"/>
    <m/>
    <x v="24"/>
    <n v="1091760"/>
    <x v="11"/>
    <x v="0"/>
    <x v="94"/>
    <x v="1"/>
  </r>
  <r>
    <x v="94"/>
    <s v="18:43:33"/>
    <s v="계좌이체"/>
    <n v="8200"/>
    <m/>
    <x v="87"/>
    <n v="1083560"/>
    <x v="1"/>
    <x v="0"/>
    <x v="94"/>
    <x v="3"/>
  </r>
  <r>
    <x v="95"/>
    <s v="15:52:12"/>
    <s v="카드결제"/>
    <n v="4100"/>
    <m/>
    <x v="24"/>
    <n v="1079460"/>
    <x v="11"/>
    <x v="0"/>
    <x v="95"/>
    <x v="9"/>
  </r>
  <r>
    <x v="95"/>
    <s v="17:30:16"/>
    <s v="카드결제"/>
    <n v="4700"/>
    <m/>
    <x v="0"/>
    <n v="1074760"/>
    <x v="0"/>
    <x v="0"/>
    <x v="95"/>
    <x v="12"/>
  </r>
  <r>
    <x v="95"/>
    <s v="17:30:32"/>
    <s v="카드결제"/>
    <n v="2100"/>
    <m/>
    <x v="0"/>
    <n v="1072660"/>
    <x v="0"/>
    <x v="0"/>
    <x v="95"/>
    <x v="12"/>
  </r>
  <r>
    <x v="96"/>
    <s v="00:09:19"/>
    <s v="카드결제"/>
    <n v="12600"/>
    <m/>
    <x v="29"/>
    <n v="1060060"/>
    <x v="9"/>
    <x v="5"/>
    <x v="96"/>
    <x v="0"/>
  </r>
  <r>
    <x v="96"/>
    <s v="16:19:48"/>
    <s v="카드결제"/>
    <n v="10500"/>
    <m/>
    <x v="0"/>
    <n v="1049560"/>
    <x v="0"/>
    <x v="0"/>
    <x v="96"/>
    <x v="1"/>
  </r>
  <r>
    <x v="96"/>
    <s v="16:33:42"/>
    <s v="카드결제"/>
    <n v="41000"/>
    <m/>
    <x v="9"/>
    <n v="1008560"/>
    <x v="5"/>
    <x v="4"/>
    <x v="96"/>
    <x v="1"/>
  </r>
  <r>
    <x v="96"/>
    <s v="17:26:57"/>
    <s v="카드결제"/>
    <n v="263600"/>
    <m/>
    <x v="88"/>
    <n v="744960"/>
    <x v="14"/>
    <x v="7"/>
    <x v="96"/>
    <x v="12"/>
  </r>
  <r>
    <x v="97"/>
    <s v="05:55:21"/>
    <s v="계좌이체"/>
    <n v="8300"/>
    <m/>
    <x v="51"/>
    <n v="736660"/>
    <x v="11"/>
    <x v="0"/>
    <x v="97"/>
    <x v="18"/>
  </r>
  <r>
    <x v="97"/>
    <s v="18:30:45"/>
    <s v="카드결제"/>
    <n v="4400"/>
    <m/>
    <x v="24"/>
    <n v="732260"/>
    <x v="11"/>
    <x v="0"/>
    <x v="97"/>
    <x v="3"/>
  </r>
  <r>
    <x v="98"/>
    <s v="18:11:41"/>
    <s v="계좌이체"/>
    <n v="19400"/>
    <m/>
    <x v="89"/>
    <n v="712860"/>
    <x v="1"/>
    <x v="0"/>
    <x v="98"/>
    <x v="3"/>
  </r>
  <r>
    <x v="99"/>
    <s v="11:31:57"/>
    <s v="카드결제"/>
    <n v="150000"/>
    <m/>
    <x v="76"/>
    <n v="562860"/>
    <x v="25"/>
    <x v="0"/>
    <x v="99"/>
    <x v="21"/>
  </r>
  <r>
    <x v="99"/>
    <s v="15:26:26"/>
    <s v="카드결제"/>
    <n v="4900"/>
    <m/>
    <x v="24"/>
    <n v="557960"/>
    <x v="11"/>
    <x v="0"/>
    <x v="99"/>
    <x v="9"/>
  </r>
  <r>
    <x v="99"/>
    <s v="22:17:57"/>
    <s v="현금IC"/>
    <n v="21400"/>
    <m/>
    <x v="63"/>
    <n v="536560"/>
    <x v="8"/>
    <x v="5"/>
    <x v="99"/>
    <x v="11"/>
  </r>
  <r>
    <x v="99"/>
    <s v="22:24:29"/>
    <s v="카드결제"/>
    <n v="4400"/>
    <m/>
    <x v="18"/>
    <n v="532160"/>
    <x v="8"/>
    <x v="5"/>
    <x v="99"/>
    <x v="11"/>
  </r>
  <r>
    <x v="100"/>
    <s v="23:33:23"/>
    <s v="카드결제"/>
    <n v="9800"/>
    <m/>
    <x v="30"/>
    <n v="522360"/>
    <x v="1"/>
    <x v="0"/>
    <x v="100"/>
    <x v="10"/>
  </r>
  <r>
    <x v="101"/>
    <s v="09:17:11"/>
    <s v="카드결제"/>
    <n v="16100"/>
    <m/>
    <x v="32"/>
    <n v="506260"/>
    <x v="14"/>
    <x v="7"/>
    <x v="101"/>
    <x v="5"/>
  </r>
  <r>
    <x v="101"/>
    <s v="10:03:59"/>
    <s v="카드결제"/>
    <n v="9300"/>
    <m/>
    <x v="33"/>
    <n v="496960"/>
    <x v="6"/>
    <x v="5"/>
    <x v="101"/>
    <x v="16"/>
  </r>
  <r>
    <x v="101"/>
    <s v="18:04:09"/>
    <s v="카드결제"/>
    <n v="45500"/>
    <m/>
    <x v="35"/>
    <n v="451460"/>
    <x v="14"/>
    <x v="7"/>
    <x v="101"/>
    <x v="3"/>
  </r>
  <r>
    <x v="101"/>
    <s v="23:55:16"/>
    <s v="카드결제"/>
    <n v="12500"/>
    <m/>
    <x v="0"/>
    <n v="438960"/>
    <x v="0"/>
    <x v="0"/>
    <x v="101"/>
    <x v="10"/>
  </r>
  <r>
    <x v="102"/>
    <s v="10:57:31"/>
    <s v="카드결제"/>
    <n v="3400"/>
    <m/>
    <x v="24"/>
    <n v="435560"/>
    <x v="11"/>
    <x v="0"/>
    <x v="102"/>
    <x v="16"/>
  </r>
  <r>
    <x v="102"/>
    <s v="15:01:37"/>
    <s v="카드결제"/>
    <n v="7600"/>
    <m/>
    <x v="15"/>
    <n v="427960"/>
    <x v="1"/>
    <x v="0"/>
    <x v="102"/>
    <x v="9"/>
  </r>
  <r>
    <x v="102"/>
    <s v="15:44:05"/>
    <s v="카드결제"/>
    <n v="4900"/>
    <m/>
    <x v="79"/>
    <n v="423060"/>
    <x v="11"/>
    <x v="0"/>
    <x v="102"/>
    <x v="9"/>
  </r>
  <r>
    <x v="103"/>
    <s v="02:43:49"/>
    <s v="카드결제"/>
    <n v="2000"/>
    <m/>
    <x v="10"/>
    <n v="421060"/>
    <x v="6"/>
    <x v="5"/>
    <x v="103"/>
    <x v="7"/>
  </r>
  <r>
    <x v="103"/>
    <s v="19:11:02"/>
    <s v="카드결제"/>
    <n v="4300"/>
    <m/>
    <x v="24"/>
    <n v="416760"/>
    <x v="11"/>
    <x v="0"/>
    <x v="103"/>
    <x v="4"/>
  </r>
  <r>
    <x v="104"/>
    <s v="21:01:59"/>
    <s v="카드결제"/>
    <n v="8300"/>
    <m/>
    <x v="14"/>
    <n v="408460"/>
    <x v="1"/>
    <x v="0"/>
    <x v="104"/>
    <x v="6"/>
  </r>
  <r>
    <x v="104"/>
    <s v="21:10:48"/>
    <s v="카드결제"/>
    <n v="5600"/>
    <m/>
    <x v="0"/>
    <n v="402860"/>
    <x v="0"/>
    <x v="0"/>
    <x v="104"/>
    <x v="6"/>
  </r>
  <r>
    <x v="105"/>
    <d v="1899-12-30T10:04:11"/>
    <s v="계좌이체"/>
    <m/>
    <n v="2917500"/>
    <x v="38"/>
    <n v="3320360"/>
    <x v="16"/>
    <x v="2"/>
    <x v="105"/>
    <x v="16"/>
  </r>
  <r>
    <x v="105"/>
    <d v="1899-12-30T10:15:32"/>
    <s v="계좌이체"/>
    <n v="450000"/>
    <m/>
    <x v="39"/>
    <n v="2870360"/>
    <x v="17"/>
    <x v="9"/>
    <x v="105"/>
    <x v="16"/>
  </r>
  <r>
    <x v="105"/>
    <s v="09:01:40"/>
    <s v="카드결제"/>
    <n v="2600"/>
    <m/>
    <x v="0"/>
    <n v="2867760"/>
    <x v="0"/>
    <x v="0"/>
    <x v="105"/>
    <x v="5"/>
  </r>
  <r>
    <x v="105"/>
    <s v="12:46:57"/>
    <s v="카드결제"/>
    <n v="14200"/>
    <m/>
    <x v="79"/>
    <n v="2853560"/>
    <x v="11"/>
    <x v="0"/>
    <x v="105"/>
    <x v="15"/>
  </r>
  <r>
    <x v="105"/>
    <s v="18:52:21"/>
    <s v="보험"/>
    <n v="41600"/>
    <m/>
    <x v="44"/>
    <n v="2811960"/>
    <x v="20"/>
    <x v="10"/>
    <x v="105"/>
    <x v="3"/>
  </r>
  <r>
    <x v="105"/>
    <s v="19:27:38"/>
    <s v="계좌이체"/>
    <n v="24900"/>
    <m/>
    <x v="45"/>
    <n v="2787060"/>
    <x v="21"/>
    <x v="4"/>
    <x v="105"/>
    <x v="4"/>
  </r>
  <r>
    <x v="105"/>
    <s v="23:24:56"/>
    <s v="카드결제"/>
    <n v="5600"/>
    <m/>
    <x v="73"/>
    <n v="2781460"/>
    <x v="9"/>
    <x v="5"/>
    <x v="105"/>
    <x v="10"/>
  </r>
  <r>
    <x v="105"/>
    <s v="23:34:16"/>
    <s v="카드결제"/>
    <n v="1900"/>
    <m/>
    <x v="18"/>
    <n v="2779560"/>
    <x v="8"/>
    <x v="5"/>
    <x v="105"/>
    <x v="10"/>
  </r>
  <r>
    <x v="106"/>
    <s v="07:01:41"/>
    <s v="통신"/>
    <n v="2100"/>
    <m/>
    <x v="47"/>
    <n v="2777460"/>
    <x v="22"/>
    <x v="11"/>
    <x v="106"/>
    <x v="19"/>
  </r>
  <r>
    <x v="106"/>
    <s v="09:09:31"/>
    <s v="카드결제"/>
    <n v="3100"/>
    <m/>
    <x v="0"/>
    <n v="2774360"/>
    <x v="0"/>
    <x v="0"/>
    <x v="106"/>
    <x v="5"/>
  </r>
  <r>
    <x v="106"/>
    <s v="09:19:15"/>
    <s v="모바일결제"/>
    <n v="790800"/>
    <m/>
    <x v="43"/>
    <n v="1983560"/>
    <x v="19"/>
    <x v="6"/>
    <x v="106"/>
    <x v="5"/>
  </r>
  <r>
    <x v="106"/>
    <s v="09:20:22"/>
    <s v="모바일결제"/>
    <n v="15600"/>
    <m/>
    <x v="42"/>
    <n v="1967960"/>
    <x v="19"/>
    <x v="6"/>
    <x v="106"/>
    <x v="5"/>
  </r>
  <r>
    <x v="106"/>
    <s v="12:10:58"/>
    <s v="카드결제"/>
    <n v="9200"/>
    <m/>
    <x v="90"/>
    <n v="1958760"/>
    <x v="1"/>
    <x v="0"/>
    <x v="106"/>
    <x v="15"/>
  </r>
  <r>
    <x v="106"/>
    <s v="18:22:00"/>
    <s v="카드결제"/>
    <n v="7700"/>
    <m/>
    <x v="3"/>
    <n v="1951060"/>
    <x v="1"/>
    <x v="0"/>
    <x v="106"/>
    <x v="3"/>
  </r>
  <r>
    <x v="107"/>
    <s v="21:16:29"/>
    <s v="모바일결제"/>
    <n v="114600"/>
    <m/>
    <x v="42"/>
    <n v="1836460"/>
    <x v="19"/>
    <x v="6"/>
    <x v="107"/>
    <x v="6"/>
  </r>
  <r>
    <x v="108"/>
    <s v="16:41:41"/>
    <s v="카드결제"/>
    <n v="4700"/>
    <m/>
    <x v="24"/>
    <n v="1831760"/>
    <x v="11"/>
    <x v="0"/>
    <x v="108"/>
    <x v="1"/>
  </r>
  <r>
    <x v="108"/>
    <s v="21:51:26"/>
    <s v="계좌이체"/>
    <n v="11900"/>
    <m/>
    <x v="67"/>
    <n v="1819860"/>
    <x v="10"/>
    <x v="0"/>
    <x v="108"/>
    <x v="6"/>
  </r>
  <r>
    <x v="109"/>
    <s v="14:57:23"/>
    <s v="카드결제"/>
    <n v="6400"/>
    <m/>
    <x v="51"/>
    <n v="1813460"/>
    <x v="11"/>
    <x v="0"/>
    <x v="109"/>
    <x v="14"/>
  </r>
  <r>
    <x v="109"/>
    <s v="15:46:27"/>
    <s v="카드결제"/>
    <n v="1800"/>
    <m/>
    <x v="0"/>
    <n v="1811660"/>
    <x v="0"/>
    <x v="0"/>
    <x v="109"/>
    <x v="9"/>
  </r>
  <r>
    <x v="109"/>
    <s v="16:45:20"/>
    <s v="카드결제"/>
    <n v="5000"/>
    <m/>
    <x v="24"/>
    <n v="1806660"/>
    <x v="11"/>
    <x v="0"/>
    <x v="109"/>
    <x v="1"/>
  </r>
  <r>
    <x v="109"/>
    <s v="18:55:47"/>
    <s v="카드결제"/>
    <n v="4000"/>
    <m/>
    <x v="20"/>
    <n v="1802660"/>
    <x v="10"/>
    <x v="0"/>
    <x v="109"/>
    <x v="3"/>
  </r>
  <r>
    <x v="109"/>
    <s v="19:21:20"/>
    <s v="카드결제"/>
    <n v="22800"/>
    <m/>
    <x v="29"/>
    <n v="1779860"/>
    <x v="9"/>
    <x v="5"/>
    <x v="109"/>
    <x v="4"/>
  </r>
  <r>
    <x v="110"/>
    <s v="15:08:04"/>
    <s v="계좌이체"/>
    <n v="8500"/>
    <m/>
    <x v="81"/>
    <n v="1771360"/>
    <x v="11"/>
    <x v="0"/>
    <x v="110"/>
    <x v="9"/>
  </r>
  <r>
    <x v="111"/>
    <s v="17:59:22"/>
    <s v="카드결제"/>
    <n v="5200"/>
    <m/>
    <x v="86"/>
    <n v="1766160"/>
    <x v="4"/>
    <x v="3"/>
    <x v="111"/>
    <x v="12"/>
  </r>
  <r>
    <x v="111"/>
    <s v="19:15:54"/>
    <s v="카드결제"/>
    <n v="55300"/>
    <m/>
    <x v="91"/>
    <n v="1710860"/>
    <x v="1"/>
    <x v="0"/>
    <x v="111"/>
    <x v="4"/>
  </r>
  <r>
    <x v="111"/>
    <s v="21:37:47"/>
    <s v="카드결제"/>
    <n v="4000"/>
    <m/>
    <x v="0"/>
    <n v="1706860"/>
    <x v="0"/>
    <x v="0"/>
    <x v="111"/>
    <x v="6"/>
  </r>
  <r>
    <x v="112"/>
    <s v="07:01:52"/>
    <s v="보험"/>
    <n v="17100"/>
    <m/>
    <x v="54"/>
    <n v="1689760"/>
    <x v="23"/>
    <x v="10"/>
    <x v="112"/>
    <x v="19"/>
  </r>
  <r>
    <x v="113"/>
    <s v="14:24:34"/>
    <s v="카드결제"/>
    <n v="5400"/>
    <m/>
    <x v="10"/>
    <n v="1684360"/>
    <x v="6"/>
    <x v="5"/>
    <x v="113"/>
    <x v="14"/>
  </r>
  <r>
    <x v="113"/>
    <s v="20:41:04"/>
    <s v="카드결제"/>
    <n v="198800"/>
    <m/>
    <x v="70"/>
    <n v="1485560"/>
    <x v="24"/>
    <x v="5"/>
    <x v="113"/>
    <x v="2"/>
  </r>
  <r>
    <x v="113"/>
    <s v="21:16:52"/>
    <s v="카드결제"/>
    <n v="1200"/>
    <m/>
    <x v="20"/>
    <n v="1484360"/>
    <x v="10"/>
    <x v="0"/>
    <x v="113"/>
    <x v="6"/>
  </r>
  <r>
    <x v="114"/>
    <s v="00:35:20"/>
    <s v="계좌이체"/>
    <m/>
    <n v="160730"/>
    <x v="4"/>
    <n v="1645090"/>
    <x v="3"/>
    <x v="2"/>
    <x v="114"/>
    <x v="0"/>
  </r>
  <r>
    <x v="114"/>
    <s v="16:58:28"/>
    <s v="카드결제"/>
    <n v="3800"/>
    <m/>
    <x v="24"/>
    <n v="1641290"/>
    <x v="11"/>
    <x v="0"/>
    <x v="114"/>
    <x v="1"/>
  </r>
  <r>
    <x v="114"/>
    <s v="18:05:25"/>
    <s v="카드결제"/>
    <n v="26900"/>
    <m/>
    <x v="6"/>
    <n v="1614390"/>
    <x v="4"/>
    <x v="3"/>
    <x v="114"/>
    <x v="3"/>
  </r>
  <r>
    <x v="114"/>
    <s v="20:20:49"/>
    <s v="카드결제"/>
    <n v="8900"/>
    <m/>
    <x v="0"/>
    <n v="1605490"/>
    <x v="0"/>
    <x v="0"/>
    <x v="114"/>
    <x v="2"/>
  </r>
  <r>
    <x v="115"/>
    <s v="20:32:40"/>
    <s v="카드결제"/>
    <n v="103700"/>
    <m/>
    <x v="9"/>
    <n v="1501790"/>
    <x v="5"/>
    <x v="4"/>
    <x v="115"/>
    <x v="2"/>
  </r>
  <r>
    <x v="116"/>
    <s v="12:25:35"/>
    <s v="계좌이체"/>
    <n v="14300"/>
    <m/>
    <x v="29"/>
    <n v="1487490"/>
    <x v="9"/>
    <x v="5"/>
    <x v="116"/>
    <x v="15"/>
  </r>
  <r>
    <x v="116"/>
    <s v="15:04:56"/>
    <s v="카드결제"/>
    <n v="4100"/>
    <m/>
    <x v="0"/>
    <n v="1483390"/>
    <x v="0"/>
    <x v="0"/>
    <x v="116"/>
    <x v="9"/>
  </r>
  <r>
    <x v="116"/>
    <s v="15:25:39"/>
    <s v="카드결제"/>
    <n v="5000"/>
    <m/>
    <x v="24"/>
    <n v="1478390"/>
    <x v="11"/>
    <x v="0"/>
    <x v="116"/>
    <x v="9"/>
  </r>
  <r>
    <x v="116"/>
    <s v="17:12:18"/>
    <s v="계좌이체"/>
    <n v="56400"/>
    <m/>
    <x v="92"/>
    <n v="1421990"/>
    <x v="1"/>
    <x v="0"/>
    <x v="116"/>
    <x v="12"/>
  </r>
  <r>
    <x v="116"/>
    <s v="17:16:42"/>
    <s v="인터넷"/>
    <n v="5100"/>
    <m/>
    <x v="93"/>
    <n v="1416890"/>
    <x v="8"/>
    <x v="5"/>
    <x v="116"/>
    <x v="12"/>
  </r>
  <r>
    <x v="116"/>
    <s v="19:19:53"/>
    <s v="카드결제"/>
    <n v="1600"/>
    <m/>
    <x v="0"/>
    <n v="1415290"/>
    <x v="0"/>
    <x v="0"/>
    <x v="116"/>
    <x v="4"/>
  </r>
  <r>
    <x v="116"/>
    <s v="19:38:47"/>
    <s v="카드결제"/>
    <n v="12200"/>
    <m/>
    <x v="9"/>
    <n v="1403090"/>
    <x v="5"/>
    <x v="4"/>
    <x v="116"/>
    <x v="4"/>
  </r>
  <r>
    <x v="117"/>
    <s v="07:24:45"/>
    <s v="카드결제"/>
    <n v="12300"/>
    <m/>
    <x v="10"/>
    <n v="1390790"/>
    <x v="6"/>
    <x v="5"/>
    <x v="117"/>
    <x v="19"/>
  </r>
  <r>
    <x v="117"/>
    <s v="19:41:23"/>
    <s v="카드결제"/>
    <n v="202800"/>
    <m/>
    <x v="94"/>
    <n v="1187990"/>
    <x v="1"/>
    <x v="0"/>
    <x v="117"/>
    <x v="4"/>
  </r>
  <r>
    <x v="117"/>
    <s v="22:10:42"/>
    <s v="카드결제"/>
    <n v="6600"/>
    <m/>
    <x v="0"/>
    <n v="1181390"/>
    <x v="0"/>
    <x v="0"/>
    <x v="117"/>
    <x v="11"/>
  </r>
  <r>
    <x v="117"/>
    <s v="22:11:20"/>
    <s v="카드결제"/>
    <n v="8800"/>
    <m/>
    <x v="0"/>
    <n v="1172590"/>
    <x v="0"/>
    <x v="0"/>
    <x v="117"/>
    <x v="11"/>
  </r>
  <r>
    <x v="118"/>
    <s v="00:33:47"/>
    <s v="카드결제"/>
    <n v="2200"/>
    <m/>
    <x v="10"/>
    <n v="1170390"/>
    <x v="6"/>
    <x v="5"/>
    <x v="118"/>
    <x v="0"/>
  </r>
  <r>
    <x v="118"/>
    <s v="23:39:07"/>
    <s v="카드결제"/>
    <n v="3800"/>
    <m/>
    <x v="0"/>
    <n v="1166590"/>
    <x v="0"/>
    <x v="0"/>
    <x v="118"/>
    <x v="10"/>
  </r>
  <r>
    <x v="119"/>
    <s v="09:03:24"/>
    <s v="계좌이체"/>
    <n v="18600"/>
    <m/>
    <x v="95"/>
    <n v="1147990"/>
    <x v="1"/>
    <x v="0"/>
    <x v="119"/>
    <x v="5"/>
  </r>
  <r>
    <x v="119"/>
    <s v="11:34:17"/>
    <s v="카드결제"/>
    <n v="11500"/>
    <m/>
    <x v="9"/>
    <n v="1136490"/>
    <x v="5"/>
    <x v="4"/>
    <x v="119"/>
    <x v="21"/>
  </r>
  <r>
    <x v="119"/>
    <s v="12:27:55"/>
    <s v="카드결제"/>
    <n v="4400"/>
    <m/>
    <x v="29"/>
    <n v="1132090"/>
    <x v="9"/>
    <x v="5"/>
    <x v="119"/>
    <x v="15"/>
  </r>
  <r>
    <x v="120"/>
    <s v="16:38:19"/>
    <s v="카드결제"/>
    <n v="9200"/>
    <m/>
    <x v="24"/>
    <n v="1122890"/>
    <x v="11"/>
    <x v="0"/>
    <x v="120"/>
    <x v="1"/>
  </r>
  <r>
    <x v="120"/>
    <s v="21:52:56"/>
    <s v="계좌이체"/>
    <n v="11500"/>
    <m/>
    <x v="96"/>
    <n v="1111390"/>
    <x v="1"/>
    <x v="0"/>
    <x v="120"/>
    <x v="6"/>
  </r>
  <r>
    <x v="121"/>
    <s v="02:17:54"/>
    <s v="계좌이체"/>
    <n v="21800"/>
    <m/>
    <x v="52"/>
    <n v="1089590"/>
    <x v="1"/>
    <x v="0"/>
    <x v="121"/>
    <x v="7"/>
  </r>
  <r>
    <x v="121"/>
    <s v="04:12:44"/>
    <s v="카드결제"/>
    <n v="4300"/>
    <m/>
    <x v="0"/>
    <n v="1085290"/>
    <x v="0"/>
    <x v="0"/>
    <x v="121"/>
    <x v="17"/>
  </r>
  <r>
    <x v="121"/>
    <s v="10:57:10"/>
    <s v="모바일결제"/>
    <n v="266800"/>
    <m/>
    <x v="84"/>
    <n v="818490"/>
    <x v="26"/>
    <x v="12"/>
    <x v="121"/>
    <x v="16"/>
  </r>
  <r>
    <x v="121"/>
    <s v="15:09:39"/>
    <s v="카드결제"/>
    <n v="24900"/>
    <m/>
    <x v="34"/>
    <n v="793590"/>
    <x v="15"/>
    <x v="5"/>
    <x v="121"/>
    <x v="9"/>
  </r>
  <r>
    <x v="121"/>
    <s v="15:14:56"/>
    <s v="카드결제"/>
    <n v="4600"/>
    <m/>
    <x v="24"/>
    <n v="788990"/>
    <x v="11"/>
    <x v="0"/>
    <x v="121"/>
    <x v="9"/>
  </r>
  <r>
    <x v="122"/>
    <s v="23:12:54"/>
    <s v="카드결제"/>
    <n v="2400"/>
    <m/>
    <x v="73"/>
    <n v="786590"/>
    <x v="9"/>
    <x v="5"/>
    <x v="122"/>
    <x v="10"/>
  </r>
  <r>
    <x v="122"/>
    <s v="23:36:21"/>
    <s v="모바일결제"/>
    <n v="3400"/>
    <m/>
    <x v="97"/>
    <n v="783190"/>
    <x v="1"/>
    <x v="0"/>
    <x v="122"/>
    <x v="10"/>
  </r>
  <r>
    <x v="123"/>
    <s v="22:16:05"/>
    <s v="계좌이체"/>
    <n v="20200"/>
    <m/>
    <x v="1"/>
    <n v="762990"/>
    <x v="1"/>
    <x v="0"/>
    <x v="123"/>
    <x v="11"/>
  </r>
  <r>
    <x v="124"/>
    <s v="18:30:06"/>
    <s v="카드결제"/>
    <n v="4200"/>
    <m/>
    <x v="24"/>
    <n v="758790"/>
    <x v="11"/>
    <x v="0"/>
    <x v="124"/>
    <x v="3"/>
  </r>
  <r>
    <x v="124"/>
    <s v="21:07:53"/>
    <s v="카드결제"/>
    <n v="2100"/>
    <m/>
    <x v="20"/>
    <n v="756690"/>
    <x v="10"/>
    <x v="0"/>
    <x v="124"/>
    <x v="6"/>
  </r>
  <r>
    <x v="125"/>
    <s v="13:31:11"/>
    <s v="카드결제"/>
    <n v="12900"/>
    <m/>
    <x v="77"/>
    <n v="743790"/>
    <x v="13"/>
    <x v="8"/>
    <x v="125"/>
    <x v="20"/>
  </r>
  <r>
    <x v="125"/>
    <s v="13:38:14"/>
    <s v="카드결제"/>
    <n v="7000"/>
    <m/>
    <x v="79"/>
    <n v="736790"/>
    <x v="11"/>
    <x v="0"/>
    <x v="125"/>
    <x v="20"/>
  </r>
  <r>
    <x v="125"/>
    <s v="17:16:34"/>
    <s v="카드결제"/>
    <n v="4900"/>
    <m/>
    <x v="7"/>
    <n v="731890"/>
    <x v="1"/>
    <x v="0"/>
    <x v="125"/>
    <x v="12"/>
  </r>
  <r>
    <x v="126"/>
    <s v="13:19:38"/>
    <s v="모바일결제"/>
    <n v="82400"/>
    <m/>
    <x v="47"/>
    <n v="649490"/>
    <x v="22"/>
    <x v="11"/>
    <x v="126"/>
    <x v="20"/>
  </r>
  <r>
    <x v="126"/>
    <s v="18:09:12"/>
    <s v="카드결제"/>
    <n v="4300"/>
    <m/>
    <x v="24"/>
    <n v="645190"/>
    <x v="11"/>
    <x v="0"/>
    <x v="126"/>
    <x v="3"/>
  </r>
  <r>
    <x v="127"/>
    <s v="17:59:20"/>
    <s v="카드결제"/>
    <n v="45500"/>
    <m/>
    <x v="9"/>
    <n v="599690"/>
    <x v="5"/>
    <x v="4"/>
    <x v="127"/>
    <x v="12"/>
  </r>
  <r>
    <x v="127"/>
    <s v="22:50:40"/>
    <s v="카드결제"/>
    <n v="9300"/>
    <m/>
    <x v="14"/>
    <n v="590390"/>
    <x v="1"/>
    <x v="0"/>
    <x v="127"/>
    <x v="11"/>
  </r>
  <r>
    <x v="127"/>
    <s v="22:59:38"/>
    <s v="카드결제"/>
    <n v="3200"/>
    <m/>
    <x v="0"/>
    <n v="587190"/>
    <x v="0"/>
    <x v="0"/>
    <x v="127"/>
    <x v="11"/>
  </r>
  <r>
    <x v="128"/>
    <s v="09:16:59"/>
    <s v="카드결제"/>
    <n v="16600"/>
    <m/>
    <x v="32"/>
    <n v="570590"/>
    <x v="14"/>
    <x v="7"/>
    <x v="128"/>
    <x v="5"/>
  </r>
  <r>
    <x v="128"/>
    <s v="10:04:21"/>
    <s v="카드결제"/>
    <n v="10800"/>
    <m/>
    <x v="33"/>
    <n v="559790"/>
    <x v="6"/>
    <x v="5"/>
    <x v="128"/>
    <x v="16"/>
  </r>
  <r>
    <x v="128"/>
    <s v="16:04:33"/>
    <s v="카드결제"/>
    <n v="39700"/>
    <m/>
    <x v="35"/>
    <n v="520090"/>
    <x v="14"/>
    <x v="7"/>
    <x v="128"/>
    <x v="1"/>
  </r>
  <r>
    <x v="128"/>
    <s v="19:20:17"/>
    <s v="카드결제"/>
    <n v="5000"/>
    <m/>
    <x v="24"/>
    <n v="515090"/>
    <x v="11"/>
    <x v="0"/>
    <x v="128"/>
    <x v="4"/>
  </r>
  <r>
    <x v="129"/>
    <s v="16:39:12"/>
    <s v="카드결제"/>
    <n v="5600"/>
    <m/>
    <x v="24"/>
    <n v="509490"/>
    <x v="11"/>
    <x v="0"/>
    <x v="129"/>
    <x v="1"/>
  </r>
  <r>
    <x v="129"/>
    <s v="18:28:45"/>
    <s v="카드결제"/>
    <n v="113400"/>
    <m/>
    <x v="76"/>
    <n v="396090"/>
    <x v="25"/>
    <x v="0"/>
    <x v="129"/>
    <x v="3"/>
  </r>
  <r>
    <x v="129"/>
    <s v="20:11:59"/>
    <s v="계좌이체"/>
    <n v="8500"/>
    <m/>
    <x v="81"/>
    <n v="387590"/>
    <x v="11"/>
    <x v="0"/>
    <x v="129"/>
    <x v="2"/>
  </r>
  <r>
    <x v="129"/>
    <s v="20:33:34"/>
    <s v="카드결제"/>
    <n v="4200"/>
    <m/>
    <x v="18"/>
    <n v="383390"/>
    <x v="8"/>
    <x v="5"/>
    <x v="129"/>
    <x v="2"/>
  </r>
  <r>
    <x v="130"/>
    <s v="02:43:49"/>
    <s v="카드결제"/>
    <n v="1800"/>
    <m/>
    <x v="10"/>
    <n v="381590"/>
    <x v="6"/>
    <x v="5"/>
    <x v="130"/>
    <x v="7"/>
  </r>
  <r>
    <x v="130"/>
    <s v="21:03:14"/>
    <s v="카드결제"/>
    <n v="2100"/>
    <m/>
    <x v="0"/>
    <n v="379490"/>
    <x v="0"/>
    <x v="0"/>
    <x v="130"/>
    <x v="6"/>
  </r>
  <r>
    <x v="131"/>
    <d v="1899-12-30T10:04:15"/>
    <s v="계좌이체"/>
    <m/>
    <n v="2629000"/>
    <x v="38"/>
    <n v="3008490"/>
    <x v="16"/>
    <x v="2"/>
    <x v="131"/>
    <x v="16"/>
  </r>
  <r>
    <x v="131"/>
    <d v="1899-12-30T10:15:32"/>
    <s v="계좌이체"/>
    <n v="450000"/>
    <m/>
    <x v="39"/>
    <n v="2558490"/>
    <x v="17"/>
    <x v="9"/>
    <x v="131"/>
    <x v="16"/>
  </r>
  <r>
    <x v="131"/>
    <s v="15:00:43"/>
    <s v="카드결제"/>
    <n v="8500"/>
    <m/>
    <x v="3"/>
    <n v="2549990"/>
    <x v="1"/>
    <x v="0"/>
    <x v="131"/>
    <x v="9"/>
  </r>
  <r>
    <x v="131"/>
    <s v="15:06:47"/>
    <s v="카드결제"/>
    <n v="3900"/>
    <m/>
    <x v="24"/>
    <n v="2546090"/>
    <x v="11"/>
    <x v="0"/>
    <x v="131"/>
    <x v="9"/>
  </r>
  <r>
    <x v="131"/>
    <s v="18:26:51"/>
    <s v="모바일결제"/>
    <n v="97400"/>
    <m/>
    <x v="42"/>
    <n v="2448690"/>
    <x v="19"/>
    <x v="6"/>
    <x v="131"/>
    <x v="3"/>
  </r>
  <r>
    <x v="131"/>
    <s v="18:35:45"/>
    <s v="모바일결제"/>
    <n v="878400"/>
    <m/>
    <x v="43"/>
    <n v="1570290"/>
    <x v="19"/>
    <x v="6"/>
    <x v="131"/>
    <x v="3"/>
  </r>
  <r>
    <x v="131"/>
    <s v="18:36:29"/>
    <s v="모바일결제"/>
    <n v="16200"/>
    <m/>
    <x v="42"/>
    <n v="1554090"/>
    <x v="19"/>
    <x v="6"/>
    <x v="131"/>
    <x v="3"/>
  </r>
  <r>
    <x v="131"/>
    <s v="18:56:18"/>
    <s v="보험"/>
    <n v="45000"/>
    <m/>
    <x v="44"/>
    <n v="1509090"/>
    <x v="20"/>
    <x v="10"/>
    <x v="131"/>
    <x v="3"/>
  </r>
  <r>
    <x v="131"/>
    <s v="19:23:21"/>
    <s v="계좌이체"/>
    <n v="33300"/>
    <m/>
    <x v="45"/>
    <n v="1475790"/>
    <x v="21"/>
    <x v="4"/>
    <x v="131"/>
    <x v="4"/>
  </r>
  <r>
    <x v="131"/>
    <s v="21:38:20"/>
    <s v="카드결제"/>
    <n v="10000"/>
    <m/>
    <x v="9"/>
    <n v="1465790"/>
    <x v="5"/>
    <x v="4"/>
    <x v="131"/>
    <x v="6"/>
  </r>
  <r>
    <x v="132"/>
    <s v="07:02:04"/>
    <s v="통신"/>
    <n v="2200"/>
    <m/>
    <x v="47"/>
    <n v="1463590"/>
    <x v="22"/>
    <x v="11"/>
    <x v="132"/>
    <x v="19"/>
  </r>
  <r>
    <x v="132"/>
    <s v="14:19:36"/>
    <s v="카드결제"/>
    <n v="4000"/>
    <m/>
    <x v="24"/>
    <n v="1459590"/>
    <x v="11"/>
    <x v="0"/>
    <x v="132"/>
    <x v="14"/>
  </r>
  <r>
    <x v="132"/>
    <s v="19:03:37"/>
    <s v="카드결제"/>
    <n v="6400"/>
    <m/>
    <x v="18"/>
    <n v="1453190"/>
    <x v="8"/>
    <x v="5"/>
    <x v="132"/>
    <x v="4"/>
  </r>
  <r>
    <x v="133"/>
    <s v="16:34:39"/>
    <s v="카드결제"/>
    <n v="4900"/>
    <m/>
    <x v="24"/>
    <n v="1448290"/>
    <x v="11"/>
    <x v="0"/>
    <x v="133"/>
    <x v="1"/>
  </r>
  <r>
    <x v="134"/>
    <s v="00:08:35"/>
    <s v="카드결제"/>
    <n v="4700"/>
    <m/>
    <x v="0"/>
    <n v="1443590"/>
    <x v="0"/>
    <x v="0"/>
    <x v="134"/>
    <x v="0"/>
  </r>
  <r>
    <x v="134"/>
    <s v="01:05:48"/>
    <s v="카드결제"/>
    <n v="41700"/>
    <m/>
    <x v="29"/>
    <n v="1401890"/>
    <x v="9"/>
    <x v="5"/>
    <x v="134"/>
    <x v="22"/>
  </r>
  <r>
    <x v="134"/>
    <s v="01:14:15"/>
    <s v="계좌이체"/>
    <n v="21200"/>
    <m/>
    <x v="58"/>
    <n v="1380690"/>
    <x v="1"/>
    <x v="0"/>
    <x v="134"/>
    <x v="22"/>
  </r>
  <r>
    <x v="134"/>
    <s v="07:01:36"/>
    <s v="보험"/>
    <n v="14600"/>
    <m/>
    <x v="54"/>
    <n v="1366090"/>
    <x v="23"/>
    <x v="10"/>
    <x v="134"/>
    <x v="19"/>
  </r>
  <r>
    <x v="134"/>
    <s v="14:39:28"/>
    <s v="카드결제"/>
    <n v="4400"/>
    <m/>
    <x v="24"/>
    <n v="1361690"/>
    <x v="11"/>
    <x v="0"/>
    <x v="13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4718F-60FA-4745-8C02-18F1C4B09A67}" name="피벗 테이블1" cacheId="0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compact="0" compactData="0" multipleFieldFilters="0" chartFormat="5">
  <location ref="S5:U421" firstHeaderRow="1" firstDataRow="1" firstDataCol="2"/>
  <pivotFields count="16">
    <pivotField compact="0" outline="0" showAll="0" defaultSubtota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Row" compact="0" outline="0" showAll="0" defaultSubtotal="0">
      <items count="98">
        <item x="69"/>
        <item x="88"/>
        <item x="0"/>
        <item x="32"/>
        <item x="47"/>
        <item x="70"/>
        <item x="23"/>
        <item x="31"/>
        <item x="75"/>
        <item x="58"/>
        <item x="54"/>
        <item x="45"/>
        <item x="62"/>
        <item x="82"/>
        <item x="84"/>
        <item x="22"/>
        <item x="37"/>
        <item x="49"/>
        <item x="65"/>
        <item x="13"/>
        <item x="17"/>
        <item x="78"/>
        <item x="14"/>
        <item x="12"/>
        <item x="1"/>
        <item x="85"/>
        <item x="52"/>
        <item x="57"/>
        <item x="59"/>
        <item x="30"/>
        <item x="28"/>
        <item x="44"/>
        <item x="2"/>
        <item x="56"/>
        <item x="51"/>
        <item x="8"/>
        <item x="90"/>
        <item x="36"/>
        <item x="39"/>
        <item x="83"/>
        <item x="81"/>
        <item x="40"/>
        <item x="72"/>
        <item x="38"/>
        <item x="80"/>
        <item x="7"/>
        <item x="33"/>
        <item x="77"/>
        <item x="21"/>
        <item x="66"/>
        <item x="25"/>
        <item x="10"/>
        <item x="3"/>
        <item x="34"/>
        <item x="18"/>
        <item x="64"/>
        <item x="19"/>
        <item x="5"/>
        <item x="42"/>
        <item x="43"/>
        <item x="71"/>
        <item x="16"/>
        <item x="4"/>
        <item x="60"/>
        <item x="87"/>
        <item x="41"/>
        <item x="61"/>
        <item x="6"/>
        <item x="89"/>
        <item x="9"/>
        <item x="35"/>
        <item x="26"/>
        <item x="48"/>
        <item x="29"/>
        <item x="79"/>
        <item x="86"/>
        <item x="20"/>
        <item x="50"/>
        <item x="76"/>
        <item x="68"/>
        <item x="53"/>
        <item x="74"/>
        <item x="67"/>
        <item x="73"/>
        <item x="27"/>
        <item x="11"/>
        <item x="24"/>
        <item x="55"/>
        <item x="46"/>
        <item x="15"/>
        <item x="63"/>
        <item x="91"/>
        <item x="92"/>
        <item x="93"/>
        <item x="94"/>
        <item x="95"/>
        <item x="96"/>
        <item x="97"/>
      </items>
    </pivotField>
    <pivotField compact="0" numFmtId="176" outline="0" subtotalTop="0" showAll="0" defaultSubtotal="0"/>
    <pivotField compact="0" outline="0" showAll="0" defaultSubtotal="0">
      <items count="29">
        <item m="1" x="27"/>
        <item x="10"/>
        <item x="23"/>
        <item x="25"/>
        <item x="4"/>
        <item x="6"/>
        <item x="3"/>
        <item x="16"/>
        <item x="21"/>
        <item x="8"/>
        <item x="0"/>
        <item x="7"/>
        <item x="12"/>
        <item x="20"/>
        <item x="9"/>
        <item x="5"/>
        <item x="2"/>
        <item x="13"/>
        <item x="14"/>
        <item x="17"/>
        <item x="19"/>
        <item x="24"/>
        <item m="1" x="28"/>
        <item x="1"/>
        <item x="18"/>
        <item x="11"/>
        <item x="26"/>
        <item x="15"/>
        <item x="22"/>
      </items>
    </pivotField>
    <pivotField compact="0" outline="0" showAll="0" defaultSubtotal="0">
      <items count="14">
        <item x="4"/>
        <item x="12"/>
        <item x="3"/>
        <item x="1"/>
        <item x="10"/>
        <item x="7"/>
        <item x="5"/>
        <item x="0"/>
        <item x="8"/>
        <item x="6"/>
        <item x="11"/>
        <item x="9"/>
        <item x="2"/>
        <item m="1" x="13"/>
      </items>
    </pivotField>
    <pivotField axis="axisRow" compact="0" numFmtId="14" outline="0" showAll="0" sortType="descending" defaultSubtotal="0">
      <items count="135"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3">
        <item h="1" x="0"/>
        <item x="1"/>
        <item h="1" x="2"/>
      </items>
    </pivotField>
    <pivotField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9"/>
    <field x="5"/>
  </rowFields>
  <rowItems count="416">
    <i>
      <x/>
      <x v="2"/>
    </i>
    <i r="1">
      <x v="9"/>
    </i>
    <i r="1">
      <x v="10"/>
    </i>
    <i r="1">
      <x v="73"/>
    </i>
    <i r="1">
      <x v="86"/>
    </i>
    <i>
      <x v="1"/>
      <x v="86"/>
    </i>
    <i>
      <x v="2"/>
      <x v="4"/>
    </i>
    <i r="1">
      <x v="54"/>
    </i>
    <i r="1">
      <x v="86"/>
    </i>
    <i>
      <x v="3"/>
      <x v="11"/>
    </i>
    <i r="1">
      <x v="31"/>
    </i>
    <i r="1">
      <x v="38"/>
    </i>
    <i r="1">
      <x v="43"/>
    </i>
    <i r="1">
      <x v="52"/>
    </i>
    <i r="1">
      <x v="58"/>
    </i>
    <i r="1">
      <x v="59"/>
    </i>
    <i r="1">
      <x v="69"/>
    </i>
    <i r="1">
      <x v="86"/>
    </i>
    <i>
      <x v="4"/>
      <x v="2"/>
    </i>
    <i r="1">
      <x v="51"/>
    </i>
    <i>
      <x v="5"/>
      <x v="40"/>
    </i>
    <i r="1">
      <x v="54"/>
    </i>
    <i r="1">
      <x v="78"/>
    </i>
    <i r="1">
      <x v="86"/>
    </i>
    <i>
      <x v="6"/>
      <x v="3"/>
    </i>
    <i r="1">
      <x v="46"/>
    </i>
    <i r="1">
      <x v="70"/>
    </i>
    <i r="1">
      <x v="86"/>
    </i>
    <i>
      <x v="7"/>
      <x v="2"/>
    </i>
    <i r="1">
      <x v="22"/>
    </i>
    <i r="1">
      <x v="69"/>
    </i>
    <i>
      <x v="8"/>
      <x v="4"/>
    </i>
    <i r="1">
      <x v="86"/>
    </i>
    <i>
      <x v="9"/>
      <x v="45"/>
    </i>
    <i r="1">
      <x v="47"/>
    </i>
    <i r="1">
      <x v="74"/>
    </i>
    <i>
      <x v="10"/>
      <x v="76"/>
    </i>
    <i r="1">
      <x v="86"/>
    </i>
    <i>
      <x v="11"/>
      <x v="24"/>
    </i>
    <i>
      <x v="12"/>
      <x v="83"/>
    </i>
    <i r="1">
      <x v="97"/>
    </i>
    <i>
      <x v="13"/>
      <x v="2"/>
    </i>
    <i r="1">
      <x v="14"/>
    </i>
    <i r="1">
      <x v="26"/>
    </i>
    <i r="1">
      <x v="53"/>
    </i>
    <i r="1">
      <x v="86"/>
    </i>
    <i>
      <x v="14"/>
      <x v="86"/>
    </i>
    <i r="1">
      <x v="96"/>
    </i>
    <i>
      <x v="15"/>
      <x v="69"/>
    </i>
    <i r="1">
      <x v="73"/>
    </i>
    <i r="1">
      <x v="95"/>
    </i>
    <i>
      <x v="16"/>
      <x v="2"/>
    </i>
    <i r="1">
      <x v="51"/>
    </i>
    <i>
      <x v="17"/>
      <x v="2"/>
    </i>
    <i r="1">
      <x v="51"/>
    </i>
    <i r="1">
      <x v="94"/>
    </i>
    <i>
      <x v="18"/>
      <x v="2"/>
    </i>
    <i r="1">
      <x v="69"/>
    </i>
    <i r="1">
      <x v="73"/>
    </i>
    <i r="1">
      <x v="86"/>
    </i>
    <i r="1">
      <x v="92"/>
    </i>
    <i r="1">
      <x v="93"/>
    </i>
    <i>
      <x v="19"/>
      <x v="69"/>
    </i>
    <i>
      <x v="20"/>
      <x v="2"/>
    </i>
    <i r="1">
      <x v="62"/>
    </i>
    <i r="1">
      <x v="67"/>
    </i>
    <i r="1">
      <x v="86"/>
    </i>
    <i>
      <x v="21"/>
      <x v="5"/>
    </i>
    <i r="1">
      <x v="51"/>
    </i>
    <i r="1">
      <x v="76"/>
    </i>
    <i>
      <x v="22"/>
      <x v="10"/>
    </i>
    <i>
      <x v="23"/>
      <x v="2"/>
    </i>
    <i r="1">
      <x v="75"/>
    </i>
    <i r="1">
      <x v="91"/>
    </i>
    <i>
      <x v="24"/>
      <x v="40"/>
    </i>
    <i>
      <x v="25"/>
      <x v="2"/>
    </i>
    <i r="1">
      <x v="34"/>
    </i>
    <i r="1">
      <x v="73"/>
    </i>
    <i r="1">
      <x v="76"/>
    </i>
    <i r="1">
      <x v="86"/>
    </i>
    <i>
      <x v="26"/>
      <x v="82"/>
    </i>
    <i r="1">
      <x v="86"/>
    </i>
    <i>
      <x v="27"/>
      <x v="58"/>
    </i>
    <i>
      <x v="28"/>
      <x v="2"/>
    </i>
    <i r="1">
      <x v="4"/>
    </i>
    <i r="1">
      <x v="36"/>
    </i>
    <i r="1">
      <x v="52"/>
    </i>
    <i r="1">
      <x v="58"/>
    </i>
    <i r="1">
      <x v="59"/>
    </i>
    <i>
      <x v="29"/>
      <x v="2"/>
    </i>
    <i r="1">
      <x v="11"/>
    </i>
    <i r="1">
      <x v="31"/>
    </i>
    <i r="1">
      <x v="38"/>
    </i>
    <i r="1">
      <x v="43"/>
    </i>
    <i r="1">
      <x v="54"/>
    </i>
    <i r="1">
      <x v="74"/>
    </i>
    <i r="1">
      <x v="83"/>
    </i>
    <i>
      <x v="30"/>
      <x v="2"/>
    </i>
    <i r="1">
      <x v="22"/>
    </i>
    <i>
      <x v="31"/>
      <x v="51"/>
    </i>
    <i r="1">
      <x v="86"/>
    </i>
    <i>
      <x v="32"/>
      <x v="74"/>
    </i>
    <i r="1">
      <x v="86"/>
    </i>
    <i r="1">
      <x v="89"/>
    </i>
    <i>
      <x v="33"/>
      <x v="2"/>
    </i>
    <i r="1">
      <x v="3"/>
    </i>
    <i r="1">
      <x v="46"/>
    </i>
    <i r="1">
      <x v="70"/>
    </i>
    <i>
      <x v="34"/>
      <x v="29"/>
    </i>
    <i>
      <x v="35"/>
      <x v="54"/>
    </i>
    <i r="1">
      <x v="78"/>
    </i>
    <i r="1">
      <x v="86"/>
    </i>
    <i r="1">
      <x v="90"/>
    </i>
    <i>
      <x v="36"/>
      <x v="68"/>
    </i>
    <i>
      <x v="37"/>
      <x v="34"/>
    </i>
    <i r="1">
      <x v="86"/>
    </i>
    <i>
      <x v="38"/>
      <x v="1"/>
    </i>
    <i r="1">
      <x v="2"/>
    </i>
    <i r="1">
      <x v="69"/>
    </i>
    <i r="1">
      <x v="73"/>
    </i>
    <i>
      <x v="39"/>
      <x v="2"/>
    </i>
    <i r="1">
      <x v="86"/>
    </i>
    <i>
      <x v="40"/>
      <x v="64"/>
    </i>
    <i r="1">
      <x v="86"/>
    </i>
    <i>
      <x v="41"/>
      <x v="73"/>
    </i>
    <i r="1">
      <x v="86"/>
    </i>
    <i>
      <x v="42"/>
      <x v="4"/>
    </i>
    <i r="1">
      <x v="25"/>
    </i>
    <i r="1">
      <x v="51"/>
    </i>
    <i r="1">
      <x v="75"/>
    </i>
    <i>
      <x v="43"/>
      <x v="73"/>
    </i>
    <i r="1">
      <x v="86"/>
    </i>
    <i>
      <x v="44"/>
      <x v="14"/>
    </i>
    <i r="1">
      <x v="51"/>
    </i>
    <i r="1">
      <x v="73"/>
    </i>
    <i r="1">
      <x v="86"/>
    </i>
    <i>
      <x v="45"/>
      <x v="28"/>
    </i>
    <i r="1">
      <x v="86"/>
    </i>
    <i>
      <x v="46"/>
      <x v="2"/>
    </i>
    <i>
      <x v="47"/>
      <x v="67"/>
    </i>
    <i>
      <x v="48"/>
      <x v="45"/>
    </i>
    <i r="1">
      <x v="62"/>
    </i>
    <i>
      <x v="49"/>
      <x v="2"/>
    </i>
    <i r="1">
      <x v="15"/>
    </i>
    <i r="1">
      <x v="51"/>
    </i>
    <i r="1">
      <x v="54"/>
    </i>
    <i r="1">
      <x v="83"/>
    </i>
    <i>
      <x v="50"/>
      <x v="86"/>
    </i>
    <i>
      <x v="51"/>
      <x v="15"/>
    </i>
    <i r="1">
      <x v="39"/>
    </i>
    <i r="1">
      <x v="48"/>
    </i>
    <i r="1">
      <x v="74"/>
    </i>
    <i>
      <x v="52"/>
      <x v="2"/>
    </i>
    <i r="1">
      <x v="10"/>
    </i>
    <i r="1">
      <x v="76"/>
    </i>
    <i>
      <x v="53"/>
      <x v="2"/>
    </i>
    <i r="1">
      <x v="45"/>
    </i>
    <i r="1">
      <x v="86"/>
    </i>
    <i>
      <x v="54"/>
      <x v="86"/>
    </i>
    <i>
      <x v="55"/>
      <x v="4"/>
    </i>
    <i r="1">
      <x v="47"/>
    </i>
    <i r="1">
      <x v="54"/>
    </i>
    <i r="1">
      <x v="86"/>
    </i>
    <i>
      <x v="56"/>
      <x v="2"/>
    </i>
    <i>
      <x v="57"/>
      <x v="2"/>
    </i>
    <i r="1">
      <x v="69"/>
    </i>
    <i r="1">
      <x v="76"/>
    </i>
    <i>
      <x v="58"/>
      <x v="2"/>
    </i>
    <i r="1">
      <x v="11"/>
    </i>
    <i r="1">
      <x v="31"/>
    </i>
    <i r="1">
      <x v="38"/>
    </i>
    <i r="1">
      <x v="43"/>
    </i>
    <i r="1">
      <x v="54"/>
    </i>
    <i r="1">
      <x v="58"/>
    </i>
    <i r="1">
      <x v="59"/>
    </i>
    <i>
      <x v="59"/>
      <x v="13"/>
    </i>
    <i r="1">
      <x v="40"/>
    </i>
    <i r="1">
      <x v="51"/>
    </i>
    <i r="1">
      <x v="69"/>
    </i>
    <i r="1">
      <x v="76"/>
    </i>
    <i>
      <x v="60"/>
      <x v="2"/>
    </i>
    <i r="1">
      <x v="3"/>
    </i>
    <i r="1">
      <x v="46"/>
    </i>
    <i r="1">
      <x v="70"/>
    </i>
    <i r="1">
      <x v="74"/>
    </i>
    <i>
      <x v="61"/>
      <x v="2"/>
    </i>
    <i>
      <x v="62"/>
      <x v="61"/>
    </i>
    <i r="1">
      <x v="86"/>
    </i>
    <i>
      <x v="63"/>
      <x v="44"/>
    </i>
    <i>
      <x v="64"/>
      <x v="2"/>
    </i>
    <i r="1">
      <x v="21"/>
    </i>
    <i r="1">
      <x v="30"/>
    </i>
    <i r="1">
      <x v="74"/>
    </i>
    <i>
      <x v="65"/>
      <x v="15"/>
    </i>
    <i r="1">
      <x v="30"/>
    </i>
    <i r="1">
      <x v="47"/>
    </i>
    <i r="1">
      <x v="86"/>
    </i>
    <i r="1">
      <x v="89"/>
    </i>
    <i>
      <x v="66"/>
      <x v="2"/>
    </i>
    <i r="1">
      <x v="50"/>
    </i>
    <i r="1">
      <x v="69"/>
    </i>
    <i r="1">
      <x v="86"/>
    </i>
    <i>
      <x v="67"/>
      <x v="78"/>
    </i>
    <i r="1">
      <x v="86"/>
    </i>
    <i>
      <x v="68"/>
      <x v="8"/>
    </i>
    <i r="1">
      <x v="73"/>
    </i>
    <i r="1">
      <x v="86"/>
    </i>
    <i>
      <x v="69"/>
      <x v="2"/>
    </i>
    <i r="1">
      <x v="37"/>
    </i>
    <i r="1">
      <x v="48"/>
    </i>
    <i r="1">
      <x v="81"/>
    </i>
    <i>
      <x v="70"/>
      <x v="51"/>
    </i>
    <i r="1">
      <x v="54"/>
    </i>
    <i r="1">
      <x v="76"/>
    </i>
    <i r="1">
      <x v="86"/>
    </i>
    <i>
      <x v="71"/>
      <x v="83"/>
    </i>
    <i>
      <x v="72"/>
      <x v="4"/>
    </i>
    <i r="1">
      <x v="45"/>
    </i>
    <i r="1">
      <x v="51"/>
    </i>
    <i r="1">
      <x v="86"/>
    </i>
    <i>
      <x v="73"/>
      <x v="2"/>
    </i>
    <i r="1">
      <x v="42"/>
    </i>
    <i r="1">
      <x v="60"/>
    </i>
    <i>
      <x v="74"/>
      <x v="2"/>
    </i>
    <i r="1">
      <x v="34"/>
    </i>
    <i>
      <x v="75"/>
      <x v="86"/>
    </i>
    <i>
      <x v="76"/>
      <x v="3"/>
    </i>
    <i r="1">
      <x v="27"/>
    </i>
    <i r="1">
      <x v="54"/>
    </i>
    <i r="1">
      <x v="62"/>
    </i>
    <i r="1">
      <x v="67"/>
    </i>
    <i>
      <x v="77"/>
      <x v="51"/>
    </i>
    <i>
      <x v="78"/>
      <x v="2"/>
    </i>
    <i r="1">
      <x v="30"/>
    </i>
    <i>
      <x v="79"/>
      <x v="5"/>
    </i>
    <i r="1">
      <x v="34"/>
    </i>
    <i r="1">
      <x v="45"/>
    </i>
    <i r="1">
      <x v="73"/>
    </i>
    <i r="1">
      <x v="86"/>
    </i>
    <i>
      <x v="80"/>
      <x v="2"/>
    </i>
    <i r="1">
      <x v="4"/>
    </i>
    <i r="1">
      <x v="10"/>
    </i>
    <i>
      <x v="81"/>
      <x v="58"/>
    </i>
    <i r="1">
      <x v="76"/>
    </i>
    <i r="1">
      <x v="86"/>
    </i>
    <i>
      <x v="82"/>
      <x v="2"/>
    </i>
    <i r="1">
      <x v="11"/>
    </i>
    <i r="1">
      <x v="31"/>
    </i>
    <i r="1">
      <x v="38"/>
    </i>
    <i r="1">
      <x v="43"/>
    </i>
    <i r="1">
      <x v="58"/>
    </i>
    <i r="1">
      <x v="59"/>
    </i>
    <i r="1">
      <x v="77"/>
    </i>
    <i r="1">
      <x v="86"/>
    </i>
    <i>
      <x v="83"/>
      <x/>
    </i>
    <i r="1">
      <x v="48"/>
    </i>
    <i r="1">
      <x v="54"/>
    </i>
    <i>
      <x v="84"/>
      <x v="2"/>
    </i>
    <i r="1">
      <x v="51"/>
    </i>
    <i r="1">
      <x v="86"/>
    </i>
    <i>
      <x v="85"/>
      <x v="79"/>
    </i>
    <i r="1">
      <x v="86"/>
    </i>
    <i>
      <x v="86"/>
      <x v="2"/>
    </i>
    <i r="1">
      <x v="3"/>
    </i>
    <i r="1">
      <x v="29"/>
    </i>
    <i r="1">
      <x v="46"/>
    </i>
    <i r="1">
      <x v="48"/>
    </i>
    <i r="1">
      <x v="54"/>
    </i>
    <i r="1">
      <x v="70"/>
    </i>
    <i r="1">
      <x v="73"/>
    </i>
    <i r="1">
      <x v="82"/>
    </i>
    <i>
      <x v="87"/>
      <x v="15"/>
    </i>
    <i r="1">
      <x v="49"/>
    </i>
    <i r="1">
      <x v="86"/>
    </i>
    <i>
      <x v="88"/>
      <x v="2"/>
    </i>
    <i r="1">
      <x v="32"/>
    </i>
    <i>
      <x v="89"/>
      <x v="72"/>
    </i>
    <i>
      <x v="90"/>
      <x v="32"/>
    </i>
    <i r="1">
      <x v="50"/>
    </i>
    <i>
      <x v="91"/>
      <x v="18"/>
    </i>
    <i r="1">
      <x v="55"/>
    </i>
    <i>
      <x v="92"/>
      <x v="15"/>
    </i>
    <i r="1">
      <x v="45"/>
    </i>
    <i r="1">
      <x v="54"/>
    </i>
    <i r="1">
      <x v="86"/>
    </i>
    <i r="1">
      <x v="90"/>
    </i>
    <i>
      <x v="93"/>
      <x v="12"/>
    </i>
    <i>
      <x v="94"/>
      <x v="2"/>
    </i>
    <i r="1">
      <x v="66"/>
    </i>
    <i r="1">
      <x v="86"/>
    </i>
    <i>
      <x v="95"/>
      <x v="6"/>
    </i>
    <i r="1">
      <x v="63"/>
    </i>
    <i r="1">
      <x v="73"/>
    </i>
    <i r="1">
      <x v="89"/>
    </i>
    <i>
      <x v="96"/>
      <x v="2"/>
    </i>
    <i r="1">
      <x v="23"/>
    </i>
    <i r="1">
      <x v="51"/>
    </i>
    <i r="1">
      <x v="56"/>
    </i>
    <i r="1">
      <x v="63"/>
    </i>
    <i>
      <x v="97"/>
      <x v="16"/>
    </i>
    <i r="1">
      <x v="32"/>
    </i>
    <i r="1">
      <x v="34"/>
    </i>
    <i>
      <x v="98"/>
      <x v="28"/>
    </i>
    <i r="1">
      <x v="32"/>
    </i>
    <i r="1">
      <x v="51"/>
    </i>
    <i r="1">
      <x v="56"/>
    </i>
    <i r="1">
      <x v="76"/>
    </i>
    <i>
      <x v="99"/>
      <x v="9"/>
    </i>
    <i r="1">
      <x v="27"/>
    </i>
    <i r="1">
      <x v="32"/>
    </i>
    <i r="1">
      <x v="61"/>
    </i>
    <i r="1">
      <x v="67"/>
    </i>
    <i r="1">
      <x v="86"/>
    </i>
    <i>
      <x v="100"/>
      <x v="2"/>
    </i>
    <i r="1">
      <x v="27"/>
    </i>
    <i>
      <x v="101"/>
      <x v="33"/>
    </i>
    <i r="1">
      <x v="34"/>
    </i>
    <i r="1">
      <x v="86"/>
    </i>
    <i>
      <x v="102"/>
      <x v="2"/>
    </i>
    <i r="1">
      <x v="24"/>
    </i>
    <i r="1">
      <x v="45"/>
    </i>
    <i r="1">
      <x v="54"/>
    </i>
    <i r="1">
      <x v="62"/>
    </i>
    <i>
      <x v="103"/>
      <x v="10"/>
    </i>
    <i r="1">
      <x v="51"/>
    </i>
    <i r="1">
      <x v="87"/>
    </i>
    <i>
      <x v="104"/>
      <x v="80"/>
    </i>
    <i>
      <x v="105"/>
      <x v="2"/>
    </i>
    <i r="1">
      <x v="45"/>
    </i>
    <i>
      <x v="106"/>
      <x v="26"/>
    </i>
    <i>
      <x v="107"/>
      <x v="2"/>
    </i>
    <i r="1">
      <x v="34"/>
    </i>
    <i r="1">
      <x v="51"/>
    </i>
    <i r="1">
      <x v="86"/>
    </i>
    <i>
      <x v="108"/>
      <x v="17"/>
    </i>
    <i r="1">
      <x v="37"/>
    </i>
    <i r="1">
      <x v="77"/>
    </i>
    <i>
      <x v="109"/>
      <x v="2"/>
    </i>
    <i r="1">
      <x v="15"/>
    </i>
    <i r="1">
      <x v="54"/>
    </i>
    <i r="1">
      <x v="69"/>
    </i>
    <i>
      <x v="110"/>
      <x v="22"/>
    </i>
    <i r="1">
      <x v="23"/>
    </i>
    <i r="1">
      <x v="48"/>
    </i>
    <i r="1">
      <x v="72"/>
    </i>
    <i>
      <x v="111"/>
      <x v="2"/>
    </i>
    <i r="1">
      <x v="4"/>
    </i>
    <i r="1">
      <x v="88"/>
    </i>
    <i>
      <x v="112"/>
      <x v="11"/>
    </i>
    <i r="1">
      <x v="30"/>
    </i>
    <i r="1">
      <x v="31"/>
    </i>
    <i r="1">
      <x v="38"/>
    </i>
    <i r="1">
      <x v="41"/>
    </i>
    <i r="1">
      <x v="43"/>
    </i>
    <i r="1">
      <x v="58"/>
    </i>
    <i r="1">
      <x v="59"/>
    </i>
    <i r="1">
      <x v="61"/>
    </i>
    <i r="1">
      <x v="65"/>
    </i>
    <i>
      <x v="113"/>
      <x v="2"/>
    </i>
    <i r="1">
      <x v="16"/>
    </i>
    <i>
      <x v="114"/>
      <x v="23"/>
    </i>
    <i r="1">
      <x v="51"/>
    </i>
    <i>
      <x v="115"/>
      <x v="37"/>
    </i>
    <i>
      <x v="116"/>
      <x v="2"/>
    </i>
    <i r="1">
      <x v="3"/>
    </i>
    <i r="1">
      <x v="46"/>
    </i>
    <i r="1">
      <x v="53"/>
    </i>
    <i r="1">
      <x v="70"/>
    </i>
    <i>
      <x v="117"/>
      <x v="7"/>
    </i>
    <i r="1">
      <x v="89"/>
    </i>
    <i>
      <x v="118"/>
      <x v="29"/>
    </i>
    <i r="1">
      <x v="54"/>
    </i>
    <i>
      <x v="119"/>
      <x v="45"/>
    </i>
    <i r="1">
      <x v="76"/>
    </i>
    <i r="1">
      <x v="86"/>
    </i>
    <i>
      <x v="120"/>
      <x v="30"/>
    </i>
    <i r="1">
      <x v="52"/>
    </i>
    <i r="1">
      <x v="73"/>
    </i>
    <i r="1">
      <x v="84"/>
    </i>
    <i r="1">
      <x v="86"/>
    </i>
    <i>
      <x v="121"/>
      <x v="50"/>
    </i>
    <i r="1">
      <x v="71"/>
    </i>
    <i>
      <x v="122"/>
      <x v="2"/>
    </i>
    <i r="1">
      <x v="56"/>
    </i>
    <i r="1">
      <x v="86"/>
    </i>
    <i>
      <x v="123"/>
      <x v="6"/>
    </i>
    <i r="1">
      <x v="23"/>
    </i>
    <i>
      <x v="124"/>
      <x v="2"/>
    </i>
    <i r="1">
      <x v="15"/>
    </i>
    <i r="1">
      <x v="48"/>
    </i>
    <i>
      <x v="125"/>
      <x v="2"/>
    </i>
    <i r="1">
      <x v="54"/>
    </i>
    <i r="1">
      <x v="56"/>
    </i>
    <i r="1">
      <x v="76"/>
    </i>
    <i>
      <x v="126"/>
      <x v="20"/>
    </i>
    <i>
      <x v="127"/>
      <x v="2"/>
    </i>
    <i r="1">
      <x v="51"/>
    </i>
    <i r="1">
      <x v="61"/>
    </i>
    <i r="1">
      <x v="89"/>
    </i>
    <i>
      <x v="128"/>
      <x v="22"/>
    </i>
    <i>
      <x v="129"/>
      <x v="2"/>
    </i>
    <i r="1">
      <x v="19"/>
    </i>
    <i r="1">
      <x v="23"/>
    </i>
    <i r="1">
      <x v="51"/>
    </i>
    <i r="1">
      <x v="85"/>
    </i>
    <i>
      <x v="130"/>
      <x v="35"/>
    </i>
    <i r="1">
      <x v="69"/>
    </i>
    <i>
      <x v="131"/>
      <x v="45"/>
    </i>
    <i>
      <x v="132"/>
      <x v="2"/>
    </i>
    <i r="1">
      <x v="67"/>
    </i>
    <i>
      <x v="133"/>
      <x v="57"/>
    </i>
    <i r="1">
      <x v="62"/>
    </i>
    <i>
      <x v="134"/>
      <x v="2"/>
    </i>
    <i r="1">
      <x v="24"/>
    </i>
    <i r="1">
      <x v="32"/>
    </i>
    <i r="1">
      <x v="52"/>
    </i>
  </rowItems>
  <colItems count="1">
    <i/>
  </colItems>
  <dataFields count="1">
    <dataField name="합계 : 입출금" fld="14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8" type="button" dataOnly="0" labelOnly="1" outline="0"/>
    </format>
    <format dxfId="25">
      <pivotArea dataOnly="0" labelOnly="1" grandRow="1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D0048-0D10-4622-9A39-1E8DEE9ADEB8}" name="피벗 테이블4" cacheId="0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compact="0" compactData="0" multipleFieldFilters="0" chartFormat="4">
  <location ref="K5:N10" firstHeaderRow="0" firstDataRow="1" firstDataCol="2"/>
  <pivotFields count="16">
    <pivotField compact="0" outline="0" showAll="0" defaultSubtota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</pivotField>
    <pivotField compact="0" outline="0" showAll="0" defaultSubtotal="0"/>
    <pivotField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howAll="0" defaultSubtotal="0"/>
    <pivotField compact="0" numFmtId="176" outline="0" subtotalTop="0" showAll="0" defaultSubtotal="0"/>
    <pivotField compact="0" outline="0" showAll="0" defaultSubtotal="0">
      <items count="29">
        <item m="1" x="27"/>
        <item x="10"/>
        <item x="23"/>
        <item x="25"/>
        <item x="4"/>
        <item x="6"/>
        <item x="3"/>
        <item x="16"/>
        <item x="21"/>
        <item x="8"/>
        <item x="0"/>
        <item x="7"/>
        <item x="12"/>
        <item x="20"/>
        <item x="9"/>
        <item x="5"/>
        <item x="2"/>
        <item x="13"/>
        <item x="14"/>
        <item x="17"/>
        <item x="19"/>
        <item x="24"/>
        <item m="1" x="28"/>
        <item x="1"/>
        <item x="18"/>
        <item x="11"/>
        <item x="26"/>
        <item x="15"/>
        <item x="22"/>
      </items>
    </pivotField>
    <pivotField compact="0" outline="0" showAll="0" defaultSubtotal="0">
      <items count="14">
        <item x="4"/>
        <item x="12"/>
        <item x="3"/>
        <item x="1"/>
        <item x="10"/>
        <item x="7"/>
        <item x="5"/>
        <item x="2"/>
        <item x="0"/>
        <item x="8"/>
        <item x="6"/>
        <item x="11"/>
        <item x="9"/>
        <item m="1" x="13"/>
      </items>
    </pivotField>
    <pivotField compact="0" numFmtId="14" outline="0" subtotalTop="0" showAll="0" defaultSubtotal="0"/>
    <pivotField compact="0" outlin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3">
        <item h="1" x="0"/>
        <item x="1"/>
        <item h="1" x="2"/>
      </items>
    </pivotField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12"/>
    <field x="11"/>
  </rowFields>
  <rowItems count="5">
    <i>
      <x v="1"/>
      <x v="1"/>
    </i>
    <i r="1">
      <x v="2"/>
    </i>
    <i r="1">
      <x v="3"/>
    </i>
    <i r="1">
      <x v="4"/>
    </i>
    <i r="1">
      <x v="5"/>
    </i>
  </rowItems>
  <colFields count="1">
    <field x="-2"/>
  </colFields>
  <colItems count="2">
    <i>
      <x/>
    </i>
    <i i="1">
      <x v="1"/>
    </i>
  </colItems>
  <dataFields count="2">
    <dataField name="합계 : 출금" fld="3" baseField="0" baseItem="0"/>
    <dataField name="합계 : 입금" fld="4" baseField="0" baseItem="0"/>
  </dataFields>
  <formats count="4"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86B64-AA3F-4AB0-9A5B-AD2B52DB7993}" name="피벗_지출요약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4">
  <location ref="B5:C18" firstHeaderRow="1" firstDataRow="1" firstDataCol="1"/>
  <pivotFields count="16">
    <pivotField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showAll="0"/>
    <pivotField showAll="0"/>
    <pivotField dataField="1" showAll="0"/>
    <pivotField showAll="0"/>
    <pivotField showAll="0"/>
    <pivotField numFmtId="176" showAll="0"/>
    <pivotField showAll="0">
      <items count="30">
        <item m="1" x="27"/>
        <item x="10"/>
        <item x="23"/>
        <item x="25"/>
        <item x="4"/>
        <item x="6"/>
        <item x="3"/>
        <item x="16"/>
        <item x="21"/>
        <item x="8"/>
        <item x="0"/>
        <item x="7"/>
        <item x="12"/>
        <item x="20"/>
        <item x="9"/>
        <item x="5"/>
        <item x="2"/>
        <item x="13"/>
        <item x="14"/>
        <item x="17"/>
        <item x="19"/>
        <item x="24"/>
        <item m="1" x="28"/>
        <item x="1"/>
        <item x="18"/>
        <item x="11"/>
        <item x="26"/>
        <item x="15"/>
        <item x="22"/>
        <item t="default"/>
      </items>
    </pivotField>
    <pivotField axis="axisRow" showAll="0" sortType="descending">
      <items count="15">
        <item x="4"/>
        <item x="12"/>
        <item x="3"/>
        <item x="1"/>
        <item x="10"/>
        <item x="7"/>
        <item x="5"/>
        <item x="0"/>
        <item x="8"/>
        <item x="6"/>
        <item x="11"/>
        <item x="9"/>
        <item x="2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13">
    <i>
      <x v="11"/>
    </i>
    <i>
      <x v="9"/>
    </i>
    <i>
      <x v="7"/>
    </i>
    <i>
      <x v="6"/>
    </i>
    <i>
      <x v="5"/>
    </i>
    <i>
      <x v="1"/>
    </i>
    <i>
      <x/>
    </i>
    <i>
      <x v="4"/>
    </i>
    <i>
      <x v="10"/>
    </i>
    <i>
      <x v="3"/>
    </i>
    <i>
      <x v="2"/>
    </i>
    <i>
      <x v="8"/>
    </i>
    <i t="grand">
      <x/>
    </i>
  </rowItems>
  <colItems count="1">
    <i/>
  </colItems>
  <dataFields count="1">
    <dataField name="합계 : 출금" fld="3" baseField="0" baseItem="0"/>
  </dataFields>
  <formats count="7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8" type="button" dataOnly="0" labelOnly="1" outline="0" axis="axisRow" fieldPosition="0"/>
    </format>
    <format dxfId="36">
      <pivotArea dataOnly="0" labelOnly="1" fieldPosition="0">
        <references count="1">
          <reference field="8" count="0"/>
        </references>
      </pivotArea>
    </format>
    <format dxfId="35">
      <pivotArea dataOnly="0" labelOnly="1" grandRow="1" outline="0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aptionNotContains" evalOrder="-1" id="4" stringValue1="수입">
      <autoFilter ref="A1">
        <filterColumn colId="0">
          <customFilters>
            <customFilter operator="notEqual" val="*수입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642FC-4DAF-46AF-99EF-597153541479}" name="피벗 테이블9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5">
  <location ref="P5:Q29" firstHeaderRow="1" firstDataRow="1" firstDataCol="1"/>
  <pivotFields count="16">
    <pivotField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showAll="0"/>
    <pivotField showAll="0"/>
    <pivotField dataField="1" showAll="0"/>
    <pivotField showAll="0"/>
    <pivotField showAll="0"/>
    <pivotField numFmtId="176" showAll="0"/>
    <pivotField showAll="0">
      <items count="30">
        <item m="1" x="27"/>
        <item x="10"/>
        <item x="23"/>
        <item x="25"/>
        <item x="4"/>
        <item x="6"/>
        <item x="3"/>
        <item x="16"/>
        <item x="21"/>
        <item x="8"/>
        <item x="0"/>
        <item x="7"/>
        <item x="12"/>
        <item x="20"/>
        <item x="9"/>
        <item x="5"/>
        <item x="2"/>
        <item x="13"/>
        <item x="14"/>
        <item x="17"/>
        <item x="19"/>
        <item x="24"/>
        <item m="1" x="28"/>
        <item x="1"/>
        <item x="18"/>
        <item x="11"/>
        <item x="26"/>
        <item x="15"/>
        <item x="22"/>
        <item t="default"/>
      </items>
    </pivotField>
    <pivotField showAll="0">
      <items count="15">
        <item x="4"/>
        <item x="12"/>
        <item x="3"/>
        <item x="1"/>
        <item x="10"/>
        <item x="7"/>
        <item x="5"/>
        <item x="0"/>
        <item x="8"/>
        <item x="6"/>
        <item x="11"/>
        <item x="9"/>
        <item x="2"/>
        <item m="1" x="13"/>
        <item t="default"/>
      </items>
    </pivotField>
    <pivotField numFmtId="14" showAll="0"/>
    <pivotField axis="axisRow">
      <items count="24">
        <item x="0"/>
        <item x="22"/>
        <item x="7"/>
        <item x="13"/>
        <item x="17"/>
        <item x="18"/>
        <item x="19"/>
        <item x="8"/>
        <item x="5"/>
        <item x="16"/>
        <item x="21"/>
        <item x="15"/>
        <item x="20"/>
        <item x="14"/>
        <item x="9"/>
        <item x="1"/>
        <item x="12"/>
        <item x="3"/>
        <item x="4"/>
        <item x="2"/>
        <item x="6"/>
        <item x="11"/>
        <item x="1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합계 : 출금" fld="3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8" type="button" dataOnly="0" labelOnly="1" outline="0"/>
    </format>
    <format dxfId="42">
      <pivotArea dataOnly="0" labelOnly="1" grandRow="1" outline="0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5BEEE-33EB-4EDD-BAD1-F26BF8D7A64A}" name="피벗_상위지출" cacheId="0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outline="1" outlineData="1" multipleFieldFilters="0">
  <location ref="E5:F103" firstHeaderRow="1" firstDataRow="1" firstDataCol="1"/>
  <pivotFields count="16">
    <pivotField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showAll="0"/>
    <pivotField showAll="0"/>
    <pivotField dataField="1" showAll="0"/>
    <pivotField showAll="0"/>
    <pivotField axis="axisRow" showAll="0" sortType="descending">
      <items count="99">
        <item x="69"/>
        <item x="88"/>
        <item x="0"/>
        <item x="32"/>
        <item x="47"/>
        <item x="70"/>
        <item x="23"/>
        <item x="31"/>
        <item x="75"/>
        <item x="58"/>
        <item x="54"/>
        <item x="45"/>
        <item x="62"/>
        <item x="82"/>
        <item x="84"/>
        <item x="22"/>
        <item x="37"/>
        <item x="49"/>
        <item x="65"/>
        <item x="13"/>
        <item x="17"/>
        <item x="78"/>
        <item x="14"/>
        <item x="12"/>
        <item x="1"/>
        <item x="85"/>
        <item x="52"/>
        <item x="57"/>
        <item x="59"/>
        <item x="30"/>
        <item x="28"/>
        <item x="44"/>
        <item x="2"/>
        <item x="56"/>
        <item x="51"/>
        <item x="8"/>
        <item x="90"/>
        <item x="36"/>
        <item x="39"/>
        <item x="83"/>
        <item x="81"/>
        <item x="40"/>
        <item x="72"/>
        <item x="38"/>
        <item x="80"/>
        <item x="7"/>
        <item x="33"/>
        <item x="77"/>
        <item x="21"/>
        <item x="66"/>
        <item x="25"/>
        <item x="10"/>
        <item x="3"/>
        <item x="34"/>
        <item x="18"/>
        <item x="64"/>
        <item x="19"/>
        <item x="5"/>
        <item x="42"/>
        <item x="43"/>
        <item x="71"/>
        <item x="16"/>
        <item x="4"/>
        <item x="60"/>
        <item x="87"/>
        <item x="41"/>
        <item x="61"/>
        <item x="6"/>
        <item x="89"/>
        <item x="9"/>
        <item x="35"/>
        <item x="26"/>
        <item x="48"/>
        <item x="29"/>
        <item x="79"/>
        <item x="86"/>
        <item x="20"/>
        <item x="50"/>
        <item x="76"/>
        <item x="68"/>
        <item x="53"/>
        <item x="74"/>
        <item x="67"/>
        <item x="73"/>
        <item x="27"/>
        <item x="11"/>
        <item x="24"/>
        <item x="55"/>
        <item x="46"/>
        <item x="15"/>
        <item x="63"/>
        <item x="91"/>
        <item x="92"/>
        <item x="93"/>
        <item x="94"/>
        <item x="95"/>
        <item x="96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6" showAll="0"/>
    <pivotField showAll="0">
      <items count="30">
        <item m="1" x="27"/>
        <item x="10"/>
        <item x="23"/>
        <item x="25"/>
        <item x="4"/>
        <item x="6"/>
        <item x="3"/>
        <item x="16"/>
        <item x="21"/>
        <item x="8"/>
        <item x="0"/>
        <item x="7"/>
        <item x="12"/>
        <item x="20"/>
        <item x="9"/>
        <item x="5"/>
        <item x="2"/>
        <item x="13"/>
        <item x="14"/>
        <item x="17"/>
        <item x="19"/>
        <item x="24"/>
        <item m="1" x="28"/>
        <item x="1"/>
        <item x="18"/>
        <item x="11"/>
        <item x="26"/>
        <item x="15"/>
        <item x="22"/>
        <item t="default"/>
      </items>
    </pivotField>
    <pivotField showAll="0">
      <items count="15">
        <item x="4"/>
        <item x="12"/>
        <item x="3"/>
        <item x="1"/>
        <item x="10"/>
        <item x="7"/>
        <item x="5"/>
        <item x="0"/>
        <item x="8"/>
        <item x="6"/>
        <item x="11"/>
        <item x="9"/>
        <item x="2"/>
        <item m="1" x="13"/>
        <item t="default"/>
      </items>
    </pivotField>
    <pivotField numFmtId="1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h="1" x="0"/>
        <item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8">
    <i>
      <x v="42"/>
    </i>
    <i>
      <x v="59"/>
    </i>
    <i>
      <x v="38"/>
    </i>
    <i>
      <x v="50"/>
    </i>
    <i>
      <x v="58"/>
    </i>
    <i>
      <x v="14"/>
    </i>
    <i>
      <x v="78"/>
    </i>
    <i>
      <x v="5"/>
    </i>
    <i>
      <x v="2"/>
    </i>
    <i>
      <x v="69"/>
    </i>
    <i>
      <x v="73"/>
    </i>
    <i>
      <x v="86"/>
    </i>
    <i>
      <x v="1"/>
    </i>
    <i>
      <x v="4"/>
    </i>
    <i>
      <x v="31"/>
    </i>
    <i>
      <x/>
    </i>
    <i>
      <x v="3"/>
    </i>
    <i>
      <x v="94"/>
    </i>
    <i>
      <x v="70"/>
    </i>
    <i>
      <x v="48"/>
    </i>
    <i>
      <x v="56"/>
    </i>
    <i>
      <x v="11"/>
    </i>
    <i>
      <x v="32"/>
    </i>
    <i>
      <x v="34"/>
    </i>
    <i>
      <x v="51"/>
    </i>
    <i>
      <x v="24"/>
    </i>
    <i>
      <x v="10"/>
    </i>
    <i>
      <x v="45"/>
    </i>
    <i>
      <x v="53"/>
    </i>
    <i>
      <x v="67"/>
    </i>
    <i>
      <x v="30"/>
    </i>
    <i>
      <x v="54"/>
    </i>
    <i>
      <x v="17"/>
    </i>
    <i>
      <x v="76"/>
    </i>
    <i>
      <x v="19"/>
    </i>
    <i>
      <x v="92"/>
    </i>
    <i>
      <x v="91"/>
    </i>
    <i>
      <x v="89"/>
    </i>
    <i>
      <x v="74"/>
    </i>
    <i>
      <x v="90"/>
    </i>
    <i>
      <x v="25"/>
    </i>
    <i>
      <x v="16"/>
    </i>
    <i>
      <x v="22"/>
    </i>
    <i>
      <x v="15"/>
    </i>
    <i>
      <x v="9"/>
    </i>
    <i>
      <x v="26"/>
    </i>
    <i>
      <x v="46"/>
    </i>
    <i>
      <x v="27"/>
    </i>
    <i>
      <x v="52"/>
    </i>
    <i>
      <x v="29"/>
    </i>
    <i>
      <x v="47"/>
    </i>
    <i>
      <x v="61"/>
    </i>
    <i>
      <x v="40"/>
    </i>
    <i>
      <x v="72"/>
    </i>
    <i>
      <x v="23"/>
    </i>
    <i>
      <x v="44"/>
    </i>
    <i>
      <x v="18"/>
    </i>
    <i>
      <x v="6"/>
    </i>
    <i>
      <x v="20"/>
    </i>
    <i>
      <x v="55"/>
    </i>
    <i>
      <x v="28"/>
    </i>
    <i>
      <x v="68"/>
    </i>
    <i>
      <x v="63"/>
    </i>
    <i>
      <x v="88"/>
    </i>
    <i>
      <x v="95"/>
    </i>
    <i>
      <x v="71"/>
    </i>
    <i>
      <x v="87"/>
    </i>
    <i>
      <x v="13"/>
    </i>
    <i>
      <x v="8"/>
    </i>
    <i>
      <x v="66"/>
    </i>
    <i>
      <x v="77"/>
    </i>
    <i>
      <x v="81"/>
    </i>
    <i>
      <x v="82"/>
    </i>
    <i>
      <x v="83"/>
    </i>
    <i>
      <x v="80"/>
    </i>
    <i>
      <x v="79"/>
    </i>
    <i>
      <x v="49"/>
    </i>
    <i>
      <x v="96"/>
    </i>
    <i>
      <x v="41"/>
    </i>
    <i>
      <x v="57"/>
    </i>
    <i>
      <x v="7"/>
    </i>
    <i>
      <x v="75"/>
    </i>
    <i>
      <x v="36"/>
    </i>
    <i>
      <x v="35"/>
    </i>
    <i>
      <x v="64"/>
    </i>
    <i>
      <x v="21"/>
    </i>
    <i>
      <x v="39"/>
    </i>
    <i>
      <x v="37"/>
    </i>
    <i>
      <x v="85"/>
    </i>
    <i>
      <x v="93"/>
    </i>
    <i>
      <x v="33"/>
    </i>
    <i>
      <x v="12"/>
    </i>
    <i>
      <x v="65"/>
    </i>
    <i>
      <x v="97"/>
    </i>
    <i>
      <x v="84"/>
    </i>
    <i>
      <x v="43"/>
    </i>
    <i>
      <x v="62"/>
    </i>
    <i>
      <x v="60"/>
    </i>
  </rowItems>
  <colItems count="1">
    <i/>
  </colItems>
  <dataFields count="1">
    <dataField name="합계 : 출금" fld="3" baseField="0" baseItem="0"/>
  </dataFields>
  <formats count="6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8" type="button" dataOnly="0" labelOnly="1" outline="0"/>
    </format>
    <format dxfId="48">
      <pivotArea dataOnly="0" labelOnly="1" grandRow="1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계정과목" xr10:uid="{A67291B2-112D-42D6-9A90-94BE0873184D}" sourceName="계정과목">
  <pivotTables>
    <pivotTable tabId="5" name="피벗_상위지출"/>
    <pivotTable tabId="5" name="피벗 테이블1"/>
    <pivotTable tabId="5" name="피벗 테이블4"/>
    <pivotTable tabId="5" name="피벗 테이블9"/>
  </pivotTables>
  <data>
    <tabular pivotCacheId="1716684943">
      <items count="29">
        <i x="10" s="1"/>
        <i x="23" s="1"/>
        <i x="25" s="1"/>
        <i x="4" s="1"/>
        <i x="6" s="1"/>
        <i x="3" s="1"/>
        <i x="16" s="1"/>
        <i x="21" s="1"/>
        <i x="8" s="1"/>
        <i x="0" s="1"/>
        <i x="7" s="1"/>
        <i x="12" s="1"/>
        <i x="20" s="1"/>
        <i x="9" s="1"/>
        <i x="5" s="1"/>
        <i x="2" s="1"/>
        <i x="13" s="1"/>
        <i x="14" s="1"/>
        <i x="17" s="1"/>
        <i x="19" s="1"/>
        <i x="24" s="1"/>
        <i x="1" s="1"/>
        <i x="18" s="1"/>
        <i x="11" s="1"/>
        <i x="26" s="1"/>
        <i x="15" s="1"/>
        <i x="22" s="1"/>
        <i x="27" s="1" nd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대분류" xr10:uid="{520BE2D3-CEC9-4409-97B6-5ECDA88DAD15}" sourceName="대분류">
  <pivotTables>
    <pivotTable tabId="5" name="피벗_상위지출"/>
    <pivotTable tabId="5" name="피벗 테이블1"/>
    <pivotTable tabId="5" name="피벗 테이블4"/>
    <pivotTable tabId="5" name="피벗 테이블9"/>
  </pivotTables>
  <data>
    <tabular pivotCacheId="1716684943">
      <items count="14">
        <i x="4" s="1"/>
        <i x="12" s="1"/>
        <i x="3" s="1"/>
        <i x="1" s="1"/>
        <i x="10" s="1"/>
        <i x="7" s="1"/>
        <i x="5" s="1"/>
        <i x="2" s="1"/>
        <i x="0" s="1"/>
        <i x="8" s="1"/>
        <i x="6" s="1"/>
        <i x="11" s="1"/>
        <i x="9" s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개월_거래일자" xr10:uid="{A3053DB5-7237-411A-AD89-6A72F04627A4}" sourceName="개월(거래일자)">
  <pivotTables>
    <pivotTable tabId="5" name="피벗_상위지출"/>
    <pivotTable tabId="5" name="피벗 테이블1"/>
    <pivotTable tabId="5" name="피벗 테이블4"/>
    <pivotTable tabId="5" name="피벗 테이블9"/>
    <pivotTable tabId="5" name="피벗_지출요약"/>
  </pivotTables>
  <data>
    <tabular pivotCacheId="1716684943">
      <items count="14">
        <i x="1" s="1"/>
        <i x="2" s="1"/>
        <i x="3" s="1"/>
        <i x="4" s="1"/>
        <i x="5" s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년_거래일자" xr10:uid="{B31427BC-92D8-47BF-8DB3-77F72CDD4831}" sourceName="년(거래일자)">
  <pivotTables>
    <pivotTable tabId="5" name="피벗_상위지출"/>
    <pivotTable tabId="5" name="피벗 테이블1"/>
    <pivotTable tabId="5" name="피벗 테이블4"/>
    <pivotTable tabId="5" name="피벗 테이블9"/>
    <pivotTable tabId="5" name="피벗_지출요약"/>
  </pivotTables>
  <data>
    <tabular pivotCacheId="1716684943">
      <items count="3">
        <i x="1" s="1"/>
        <i x="0" nd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계정과목" xr10:uid="{019325DC-A817-4440-9A58-77A1BD1D65B1}" cache="슬라이서_계정과목" caption="계정과목" columnCount="2" style="KakaoBank슬라이서" rowHeight="225425"/>
  <slicer name="대분류" xr10:uid="{29EAC171-4252-4DD1-950B-31C5DFE47A0B}" cache="슬라이서_대분류" caption="대분류" columnCount="2" style="KakaoBank슬라이서" rowHeight="225425"/>
  <slicer name="개월(거래일자)" xr10:uid="{69DAC53C-5456-4311-91B7-9A24AC6619AC}" cache="슬라이서_개월_거래일자" caption="월" columnCount="4" style="KakaoBank슬라이서" rowHeight="225425"/>
  <slicer name="년(거래일자)" xr10:uid="{167865D9-21C4-466D-A3EF-55139423682B}" cache="슬라이서_년_거래일자" caption="년도" columnCount="2" style="KakaoBank슬라이서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분류표" displayName="분류표" ref="R7:S53" totalsRowShown="0" headerRowDxfId="22" dataDxfId="21">
  <autoFilter ref="R7:S53" xr:uid="{00000000-0009-0000-0100-000001000000}"/>
  <sortState xmlns:xlrd2="http://schemas.microsoft.com/office/spreadsheetml/2017/richdata2" ref="R8:S53">
    <sortCondition ref="S7:S53"/>
  </sortState>
  <tableColumns count="2">
    <tableColumn id="1" xr3:uid="{00000000-0010-0000-0000-000001000000}" name="분류" dataDxfId="20"/>
    <tableColumn id="2" xr3:uid="{00000000-0010-0000-0000-000002000000}" name="대분류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단어표" displayName="단어표" ref="O7:P88" totalsRowShown="0" headerRowDxfId="18" dataDxfId="17">
  <tableColumns count="2">
    <tableColumn id="1" xr3:uid="{00000000-0010-0000-0100-000001000000}" name="포함단어" dataDxfId="16"/>
    <tableColumn id="2" xr3:uid="{00000000-0010-0000-0100-000002000000}" name="분류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F2F87-460D-4A46-A478-BEAE79FDF361}" name="표3" displayName="표3" ref="A7:K452" totalsRowShown="0" headerRowDxfId="14" headerRowBorderDxfId="13" tableBorderDxfId="12" totalsRowBorderDxfId="11">
  <tableColumns count="11">
    <tableColumn id="1" xr3:uid="{59769B0E-4483-4FE4-AC9B-4996321DF05F}" name="거래일자" dataDxfId="10"/>
    <tableColumn id="2" xr3:uid="{D1717197-345E-40DB-97A4-6B6A7E80CBA7}" name="거래시간" dataDxfId="9"/>
    <tableColumn id="3" xr3:uid="{E437DF26-A4C2-4579-AA12-697BC1CD8139}" name="적요" dataDxfId="8"/>
    <tableColumn id="4" xr3:uid="{BBBDDDA4-C762-48DC-8395-CFC8AE7137C1}" name="출금" dataDxfId="7"/>
    <tableColumn id="5" xr3:uid="{3E5F44A5-EEEC-473A-A28C-965845FB7B2A}" name="입금" dataDxfId="6"/>
    <tableColumn id="6" xr3:uid="{5B61E20C-B5C9-4173-9733-16365102E4DE}" name="내용" dataDxfId="5"/>
    <tableColumn id="7" xr3:uid="{26E6A57B-7A4D-4CD3-852E-19A308F78609}" name="잔액" dataDxfId="4"/>
    <tableColumn id="8" xr3:uid="{6331EF6B-39F0-4E20-8062-33AEC7BB8B23}" name="계정과목" dataDxfId="3">
      <calculatedColumnFormula array="1">IFERROR(INDEX(단어표[분류],MIN(IF(ISNUMBER(FIND(단어표[포함단어],표3[[#This Row],[내용]])),ROW(단어표[포함단어])-ROW(포함단어시작셀)+1,ROWS(단어표[포함단어])+1))),"")</calculatedColumnFormula>
    </tableColumn>
    <tableColumn id="9" xr3:uid="{66640BE0-A5BF-4DA0-A591-E070DC842684}" name="대분류" dataDxfId="2">
      <calculatedColumnFormula>VLOOKUP(H8,분류표[],2,0)</calculatedColumnFormula>
    </tableColumn>
    <tableColumn id="10" xr3:uid="{B55956FB-D6F0-4C67-9D62-B975A71B99FD}" name="거래일" dataDxfId="1">
      <calculatedColumnFormula>A8</calculatedColumnFormula>
    </tableColumn>
    <tableColumn id="11" xr3:uid="{3FA316C9-27A8-427C-B6F0-AEB62AF012EF}" name="시간대" dataDxfId="0">
      <calculatedColumnFormula>HOUR(B8)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62C9-5A43-4375-9E0E-61701FCE5C4E}">
  <dimension ref="A1"/>
  <sheetViews>
    <sheetView tabSelected="1" zoomScale="145" zoomScaleNormal="145" workbookViewId="0"/>
  </sheetViews>
  <sheetFormatPr defaultColWidth="9.140625" defaultRowHeight="12.75"/>
  <cols>
    <col min="1" max="16384" width="9.140625" style="2"/>
  </cols>
  <sheetData>
    <row r="1" ht="75.75" customHeight="1"/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DA1E-4067-43B3-B778-8254C954C279}">
  <dimension ref="B2:Y421"/>
  <sheetViews>
    <sheetView zoomScale="130" zoomScaleNormal="130" workbookViewId="0">
      <selection activeCell="E22" sqref="E22"/>
    </sheetView>
  </sheetViews>
  <sheetFormatPr defaultColWidth="9.140625" defaultRowHeight="13.5"/>
  <cols>
    <col min="1" max="1" width="4" style="1" customWidth="1"/>
    <col min="2" max="2" width="12.140625" style="1" bestFit="1" customWidth="1"/>
    <col min="3" max="3" width="11.85546875" style="4" bestFit="1" customWidth="1"/>
    <col min="4" max="4" width="3.28515625" style="4" customWidth="1"/>
    <col min="5" max="5" width="18.28515625" style="4" bestFit="1" customWidth="1"/>
    <col min="6" max="6" width="11.140625" style="1" bestFit="1" customWidth="1"/>
    <col min="7" max="7" width="17.28515625" style="4" bestFit="1" customWidth="1"/>
    <col min="8" max="8" width="19" style="8" customWidth="1"/>
    <col min="9" max="9" width="14.140625" style="8" customWidth="1"/>
    <col min="10" max="10" width="3.28515625" style="1" customWidth="1"/>
    <col min="11" max="11" width="13.140625" style="1" customWidth="1"/>
    <col min="12" max="12" width="17.140625" style="4" bestFit="1" customWidth="1"/>
    <col min="13" max="14" width="11.140625" style="4" bestFit="1" customWidth="1"/>
    <col min="15" max="15" width="3.28515625" style="1" customWidth="1"/>
    <col min="16" max="16" width="12.140625" style="1" bestFit="1" customWidth="1"/>
    <col min="17" max="17" width="11.85546875" style="1" bestFit="1" customWidth="1"/>
    <col min="18" max="18" width="4.28515625" style="1" customWidth="1"/>
    <col min="19" max="19" width="14.7109375" style="1" customWidth="1"/>
    <col min="20" max="20" width="18.28515625" style="1" bestFit="1" customWidth="1"/>
    <col min="21" max="21" width="13.140625" style="1" bestFit="1" customWidth="1"/>
    <col min="22" max="22" width="13" style="1" bestFit="1" customWidth="1"/>
    <col min="23" max="23" width="9.5703125" style="12" customWidth="1"/>
    <col min="24" max="24" width="16.28515625" style="13" customWidth="1"/>
    <col min="25" max="25" width="12.7109375" style="14" customWidth="1"/>
    <col min="26" max="16384" width="9.140625" style="1"/>
  </cols>
  <sheetData>
    <row r="2" spans="2:25">
      <c r="B2" s="38" t="s">
        <v>711</v>
      </c>
      <c r="C2" s="38"/>
      <c r="E2" s="39" t="s">
        <v>712</v>
      </c>
      <c r="F2" s="39"/>
      <c r="G2" s="39"/>
      <c r="H2" s="39"/>
      <c r="I2" s="39"/>
      <c r="K2" s="39" t="s">
        <v>713</v>
      </c>
      <c r="L2" s="39"/>
      <c r="M2" s="39"/>
      <c r="N2" s="39"/>
      <c r="P2" s="38" t="s">
        <v>714</v>
      </c>
      <c r="Q2" s="38"/>
      <c r="S2" s="39" t="s">
        <v>715</v>
      </c>
      <c r="T2" s="39"/>
      <c r="U2" s="39"/>
      <c r="V2" s="39"/>
      <c r="W2" s="39"/>
      <c r="X2" s="39"/>
      <c r="Y2" s="39"/>
    </row>
    <row r="3" spans="2:25">
      <c r="L3" s="1" t="s">
        <v>662</v>
      </c>
      <c r="M3" s="4">
        <f>SUM(M6:M31)</f>
        <v>20128000</v>
      </c>
      <c r="N3" s="4">
        <f>SUM(N6:N31)</f>
        <v>19985790</v>
      </c>
    </row>
    <row r="4" spans="2:25">
      <c r="L4" s="1" t="s">
        <v>661</v>
      </c>
      <c r="M4" s="4">
        <f>IFERROR(AVERAGE(M6:M31),0)</f>
        <v>4025600</v>
      </c>
      <c r="N4" s="4">
        <f>IFERROR(AVERAGE(N6:N31),0)</f>
        <v>3997158</v>
      </c>
    </row>
    <row r="5" spans="2:25">
      <c r="B5" s="6" t="s">
        <v>652</v>
      </c>
      <c r="C5" s="4" t="s">
        <v>687</v>
      </c>
      <c r="E5" s="6" t="s">
        <v>652</v>
      </c>
      <c r="F5" s="4" t="s">
        <v>687</v>
      </c>
      <c r="G5"/>
      <c r="H5" s="9" t="s">
        <v>666</v>
      </c>
      <c r="I5" s="10" t="s">
        <v>662</v>
      </c>
      <c r="K5" s="6" t="s">
        <v>664</v>
      </c>
      <c r="L5" s="6" t="s">
        <v>665</v>
      </c>
      <c r="M5" s="1" t="s">
        <v>687</v>
      </c>
      <c r="N5" s="1" t="s">
        <v>688</v>
      </c>
      <c r="O5"/>
      <c r="P5" s="6" t="s">
        <v>652</v>
      </c>
      <c r="Q5" s="4" t="s">
        <v>687</v>
      </c>
      <c r="S5" s="6" t="s">
        <v>668</v>
      </c>
      <c r="T5" s="6" t="s">
        <v>8</v>
      </c>
      <c r="U5" s="4" t="s">
        <v>716</v>
      </c>
      <c r="V5"/>
      <c r="W5" s="17" t="s">
        <v>670</v>
      </c>
      <c r="X5" s="18" t="s">
        <v>671</v>
      </c>
      <c r="Y5" s="19" t="s">
        <v>672</v>
      </c>
    </row>
    <row r="6" spans="2:25">
      <c r="B6" s="7" t="s">
        <v>645</v>
      </c>
      <c r="C6" s="4">
        <v>7812000</v>
      </c>
      <c r="E6" s="7" t="s">
        <v>695</v>
      </c>
      <c r="F6" s="4">
        <v>5562000</v>
      </c>
      <c r="G6"/>
      <c r="H6" s="11" t="str">
        <f>E6</f>
        <v>예금가입</v>
      </c>
      <c r="I6" s="11">
        <f>F6</f>
        <v>5562000</v>
      </c>
      <c r="K6" s="1" t="s">
        <v>663</v>
      </c>
      <c r="L6" s="1" t="s">
        <v>690</v>
      </c>
      <c r="M6" s="4">
        <v>2690200</v>
      </c>
      <c r="N6" s="4">
        <v>2870190</v>
      </c>
      <c r="O6"/>
      <c r="P6" s="7">
        <v>0</v>
      </c>
      <c r="Q6" s="4">
        <v>97200</v>
      </c>
      <c r="S6" s="3">
        <v>44712</v>
      </c>
      <c r="T6" s="1" t="s">
        <v>492</v>
      </c>
      <c r="U6" s="4">
        <v>-4700</v>
      </c>
      <c r="V6"/>
      <c r="W6" s="15">
        <f>IF(S6="","",S6)</f>
        <v>44712</v>
      </c>
      <c r="X6" s="16" t="str">
        <f t="shared" ref="X6:Y6" si="0">IF(T6="","",T6)</f>
        <v>GS25 편의점</v>
      </c>
      <c r="Y6" s="29">
        <f t="shared" si="0"/>
        <v>-4700</v>
      </c>
    </row>
    <row r="7" spans="2:25">
      <c r="B7" s="7" t="s">
        <v>658</v>
      </c>
      <c r="C7" s="4">
        <v>4709200</v>
      </c>
      <c r="E7" s="7" t="s">
        <v>673</v>
      </c>
      <c r="F7" s="4">
        <v>4033500</v>
      </c>
      <c r="G7"/>
      <c r="H7" s="11" t="str">
        <f t="shared" ref="H7:H15" si="1">E7</f>
        <v>자이아파트_월세</v>
      </c>
      <c r="I7" s="11">
        <f t="shared" ref="I7:I15" si="2">F7</f>
        <v>4033500</v>
      </c>
      <c r="L7" s="1" t="s">
        <v>691</v>
      </c>
      <c r="M7" s="4">
        <v>2815400</v>
      </c>
      <c r="N7" s="4">
        <v>2436590</v>
      </c>
      <c r="O7"/>
      <c r="P7" s="7">
        <v>1</v>
      </c>
      <c r="Q7" s="4">
        <v>139800</v>
      </c>
      <c r="S7" s="3">
        <v>44712</v>
      </c>
      <c r="T7" s="1" t="s">
        <v>677</v>
      </c>
      <c r="U7" s="4">
        <v>-21200</v>
      </c>
      <c r="V7"/>
      <c r="W7" s="15">
        <f t="shared" ref="W7:W22" si="3">IF(S7="","",S7)</f>
        <v>44712</v>
      </c>
      <c r="X7" s="16" t="str">
        <f t="shared" ref="X7:X22" si="4">IF(T7="","",T7)</f>
        <v>교촌치킨</v>
      </c>
      <c r="Y7" s="29">
        <f t="shared" ref="Y7:Y22" si="5">IF(U7="","",U7)</f>
        <v>-21200</v>
      </c>
    </row>
    <row r="8" spans="2:25">
      <c r="B8" s="7" t="s">
        <v>657</v>
      </c>
      <c r="C8" s="4">
        <v>2795400</v>
      </c>
      <c r="E8" s="7" t="s">
        <v>674</v>
      </c>
      <c r="F8" s="4">
        <v>2250000</v>
      </c>
      <c r="G8"/>
      <c r="H8" s="11" t="str">
        <f t="shared" si="1"/>
        <v>엑셀특별적금</v>
      </c>
      <c r="I8" s="11">
        <f t="shared" si="2"/>
        <v>2250000</v>
      </c>
      <c r="L8" s="1" t="s">
        <v>692</v>
      </c>
      <c r="M8" s="4">
        <v>8637300</v>
      </c>
      <c r="N8" s="4">
        <v>8604920</v>
      </c>
      <c r="O8"/>
      <c r="P8" s="7">
        <v>2</v>
      </c>
      <c r="Q8" s="4">
        <v>71900</v>
      </c>
      <c r="S8" s="3">
        <v>44712</v>
      </c>
      <c r="T8" s="1" t="s">
        <v>490</v>
      </c>
      <c r="U8" s="4">
        <v>-14600</v>
      </c>
      <c r="V8"/>
      <c r="W8" s="15">
        <f t="shared" si="3"/>
        <v>44712</v>
      </c>
      <c r="X8" s="16" t="str">
        <f t="shared" si="4"/>
        <v>국민건강보험</v>
      </c>
      <c r="Y8" s="29">
        <f t="shared" si="5"/>
        <v>-14600</v>
      </c>
    </row>
    <row r="9" spans="2:25">
      <c r="B9" s="7" t="s">
        <v>656</v>
      </c>
      <c r="C9" s="4">
        <v>1633300</v>
      </c>
      <c r="E9" s="7" t="s">
        <v>470</v>
      </c>
      <c r="F9" s="4">
        <v>683800</v>
      </c>
      <c r="G9"/>
      <c r="H9" s="11" t="str">
        <f t="shared" si="1"/>
        <v>위워크</v>
      </c>
      <c r="I9" s="11">
        <f t="shared" si="2"/>
        <v>683800</v>
      </c>
      <c r="L9" s="1" t="s">
        <v>693</v>
      </c>
      <c r="M9" s="4">
        <v>2785700</v>
      </c>
      <c r="N9" s="4">
        <v>3284360</v>
      </c>
      <c r="O9"/>
      <c r="P9" s="7">
        <v>3</v>
      </c>
      <c r="Q9" s="4">
        <v>56700</v>
      </c>
      <c r="S9" s="3">
        <v>44712</v>
      </c>
      <c r="T9" s="1" t="s">
        <v>13</v>
      </c>
      <c r="U9" s="4">
        <v>-41700</v>
      </c>
      <c r="V9"/>
      <c r="W9" s="15">
        <f t="shared" si="3"/>
        <v>44712</v>
      </c>
      <c r="X9" s="16" t="str">
        <f t="shared" si="4"/>
        <v>쿠팡</v>
      </c>
      <c r="Y9" s="29">
        <f t="shared" si="5"/>
        <v>-41700</v>
      </c>
    </row>
    <row r="10" spans="2:25">
      <c r="B10" s="7" t="s">
        <v>655</v>
      </c>
      <c r="C10" s="4">
        <v>1359400</v>
      </c>
      <c r="E10" s="7" t="s">
        <v>524</v>
      </c>
      <c r="F10" s="4">
        <v>619200</v>
      </c>
      <c r="G10"/>
      <c r="H10" s="11" t="str">
        <f t="shared" si="1"/>
        <v>자이아파트_관리비</v>
      </c>
      <c r="I10" s="11">
        <f t="shared" si="2"/>
        <v>619200</v>
      </c>
      <c r="L10" s="1" t="s">
        <v>660</v>
      </c>
      <c r="M10" s="4">
        <v>3199400</v>
      </c>
      <c r="N10" s="4">
        <v>2789730</v>
      </c>
      <c r="O10"/>
      <c r="P10" s="7">
        <v>4</v>
      </c>
      <c r="Q10" s="4">
        <v>8400</v>
      </c>
      <c r="S10" s="3">
        <v>44712</v>
      </c>
      <c r="T10" s="1" t="s">
        <v>493</v>
      </c>
      <c r="U10" s="4">
        <v>-4400</v>
      </c>
      <c r="V10"/>
      <c r="W10" s="15">
        <f t="shared" si="3"/>
        <v>44712</v>
      </c>
      <c r="X10" s="16" t="str">
        <f t="shared" si="4"/>
        <v>할리스커피</v>
      </c>
      <c r="Y10" s="29">
        <f t="shared" si="5"/>
        <v>-4400</v>
      </c>
    </row>
    <row r="11" spans="2:25">
      <c r="B11" s="7" t="s">
        <v>653</v>
      </c>
      <c r="C11" s="4">
        <v>496800</v>
      </c>
      <c r="E11" s="7" t="s">
        <v>481</v>
      </c>
      <c r="F11" s="4">
        <v>496800</v>
      </c>
      <c r="G11"/>
      <c r="H11" s="11" t="str">
        <f t="shared" si="1"/>
        <v>늘배움학원</v>
      </c>
      <c r="I11" s="11">
        <f t="shared" si="2"/>
        <v>496800</v>
      </c>
      <c r="K11"/>
      <c r="L11"/>
      <c r="M11"/>
      <c r="N11"/>
      <c r="O11"/>
      <c r="P11" s="7">
        <v>5</v>
      </c>
      <c r="Q11" s="4">
        <v>27300</v>
      </c>
      <c r="S11" s="3">
        <v>44711</v>
      </c>
      <c r="T11" s="1" t="s">
        <v>493</v>
      </c>
      <c r="U11" s="4">
        <v>-4900</v>
      </c>
      <c r="V11"/>
      <c r="W11" s="15">
        <f t="shared" si="3"/>
        <v>44711</v>
      </c>
      <c r="X11" s="16" t="str">
        <f t="shared" si="4"/>
        <v>할리스커피</v>
      </c>
      <c r="Y11" s="29">
        <f t="shared" si="5"/>
        <v>-4900</v>
      </c>
    </row>
    <row r="12" spans="2:25">
      <c r="B12" s="7" t="s">
        <v>505</v>
      </c>
      <c r="C12" s="4">
        <v>479300</v>
      </c>
      <c r="E12" s="7" t="s">
        <v>35</v>
      </c>
      <c r="F12" s="4">
        <v>432900</v>
      </c>
      <c r="G12"/>
      <c r="H12" s="11" t="str">
        <f t="shared" si="1"/>
        <v>풀무원</v>
      </c>
      <c r="I12" s="11">
        <f t="shared" si="2"/>
        <v>432900</v>
      </c>
      <c r="K12"/>
      <c r="L12"/>
      <c r="M12"/>
      <c r="N12"/>
      <c r="O12"/>
      <c r="P12" s="7">
        <v>7</v>
      </c>
      <c r="Q12" s="4">
        <v>167400</v>
      </c>
      <c r="S12" s="3">
        <v>44707</v>
      </c>
      <c r="T12" s="1" t="s">
        <v>517</v>
      </c>
      <c r="U12" s="4">
        <v>-2200</v>
      </c>
      <c r="V12"/>
      <c r="W12" s="15">
        <f t="shared" si="3"/>
        <v>44707</v>
      </c>
      <c r="X12" s="16" t="str">
        <f t="shared" si="4"/>
        <v>SKT통신비</v>
      </c>
      <c r="Y12" s="29">
        <f t="shared" si="5"/>
        <v>-2200</v>
      </c>
    </row>
    <row r="13" spans="2:25">
      <c r="B13" s="7" t="s">
        <v>654</v>
      </c>
      <c r="C13" s="4">
        <v>308000</v>
      </c>
      <c r="E13" s="7" t="s">
        <v>88</v>
      </c>
      <c r="F13" s="4">
        <v>420600</v>
      </c>
      <c r="G13"/>
      <c r="H13" s="11" t="str">
        <f t="shared" si="1"/>
        <v>ZARA</v>
      </c>
      <c r="I13" s="11">
        <f t="shared" si="2"/>
        <v>420600</v>
      </c>
      <c r="K13"/>
      <c r="L13"/>
      <c r="M13"/>
      <c r="N13"/>
      <c r="O13"/>
      <c r="P13" s="7">
        <v>8</v>
      </c>
      <c r="Q13" s="4">
        <v>146800</v>
      </c>
      <c r="S13" s="3">
        <v>44707</v>
      </c>
      <c r="T13" s="1" t="s">
        <v>496</v>
      </c>
      <c r="U13" s="4">
        <v>-6400</v>
      </c>
      <c r="V13"/>
      <c r="W13" s="15">
        <f t="shared" si="3"/>
        <v>44707</v>
      </c>
      <c r="X13" s="16" t="str">
        <f t="shared" si="4"/>
        <v>이마트24</v>
      </c>
      <c r="Y13" s="29">
        <f t="shared" si="5"/>
        <v>-6400</v>
      </c>
    </row>
    <row r="14" spans="2:25">
      <c r="B14" s="7" t="s">
        <v>576</v>
      </c>
      <c r="C14" s="4">
        <v>247200</v>
      </c>
      <c r="E14" s="7" t="s">
        <v>492</v>
      </c>
      <c r="F14" s="4">
        <v>371300</v>
      </c>
      <c r="G14"/>
      <c r="H14" s="11" t="str">
        <f t="shared" si="1"/>
        <v>GS25 편의점</v>
      </c>
      <c r="I14" s="11">
        <f t="shared" si="2"/>
        <v>371300</v>
      </c>
      <c r="K14"/>
      <c r="L14"/>
      <c r="M14"/>
      <c r="N14"/>
      <c r="O14"/>
      <c r="P14" s="7">
        <v>9</v>
      </c>
      <c r="Q14" s="4">
        <v>956100</v>
      </c>
      <c r="S14" s="3">
        <v>44707</v>
      </c>
      <c r="T14" s="1" t="s">
        <v>493</v>
      </c>
      <c r="U14" s="4">
        <v>-4000</v>
      </c>
      <c r="V14"/>
      <c r="W14" s="15">
        <f t="shared" si="3"/>
        <v>44707</v>
      </c>
      <c r="X14" s="16" t="str">
        <f t="shared" si="4"/>
        <v>할리스커피</v>
      </c>
      <c r="Y14" s="29">
        <f t="shared" si="5"/>
        <v>-4000</v>
      </c>
    </row>
    <row r="15" spans="2:25">
      <c r="B15" s="7" t="s">
        <v>689</v>
      </c>
      <c r="C15" s="4">
        <v>164300</v>
      </c>
      <c r="E15" s="7" t="s">
        <v>452</v>
      </c>
      <c r="F15" s="4">
        <v>332000</v>
      </c>
      <c r="G15"/>
      <c r="H15" s="11" t="str">
        <f t="shared" si="1"/>
        <v>카카오(기프티콘)</v>
      </c>
      <c r="I15" s="11">
        <f t="shared" si="2"/>
        <v>332000</v>
      </c>
      <c r="K15"/>
      <c r="L15"/>
      <c r="M15"/>
      <c r="N15"/>
      <c r="O15"/>
      <c r="P15" s="7">
        <v>10</v>
      </c>
      <c r="Q15" s="4">
        <v>2597700</v>
      </c>
      <c r="S15" s="3">
        <v>44706</v>
      </c>
      <c r="T15" s="1" t="s">
        <v>491</v>
      </c>
      <c r="U15" s="4">
        <v>-33300</v>
      </c>
      <c r="V15"/>
      <c r="W15" s="15">
        <f t="shared" si="3"/>
        <v>44706</v>
      </c>
      <c r="X15" s="16" t="str">
        <f t="shared" si="4"/>
        <v>기아대책기부금</v>
      </c>
      <c r="Y15" s="29">
        <f t="shared" si="5"/>
        <v>-33300</v>
      </c>
    </row>
    <row r="16" spans="2:25">
      <c r="B16" s="7" t="s">
        <v>577</v>
      </c>
      <c r="C16" s="4">
        <v>78100</v>
      </c>
      <c r="E16" s="7" t="s">
        <v>13</v>
      </c>
      <c r="F16" s="4">
        <v>290400</v>
      </c>
      <c r="G16"/>
      <c r="K16"/>
      <c r="L16"/>
      <c r="M16"/>
      <c r="N16"/>
      <c r="O16"/>
      <c r="P16" s="7">
        <v>11</v>
      </c>
      <c r="Q16" s="4">
        <v>547000</v>
      </c>
      <c r="S16" s="3">
        <v>44706</v>
      </c>
      <c r="T16" s="1" t="s">
        <v>487</v>
      </c>
      <c r="U16" s="4">
        <v>-45000</v>
      </c>
      <c r="V16"/>
      <c r="W16" s="15">
        <f t="shared" si="3"/>
        <v>44706</v>
      </c>
      <c r="X16" s="16" t="str">
        <f t="shared" si="4"/>
        <v>삼성생명</v>
      </c>
      <c r="Y16" s="29">
        <f t="shared" si="5"/>
        <v>-45000</v>
      </c>
    </row>
    <row r="17" spans="2:25">
      <c r="B17" s="7" t="s">
        <v>619</v>
      </c>
      <c r="C17" s="4">
        <v>45000</v>
      </c>
      <c r="E17" s="7" t="s">
        <v>493</v>
      </c>
      <c r="F17" s="4">
        <v>271600</v>
      </c>
      <c r="G17"/>
      <c r="K17"/>
      <c r="L17"/>
      <c r="M17"/>
      <c r="N17"/>
      <c r="O17"/>
      <c r="P17" s="7">
        <v>12</v>
      </c>
      <c r="Q17" s="4">
        <v>149700</v>
      </c>
      <c r="S17" s="3">
        <v>44706</v>
      </c>
      <c r="T17" s="1" t="s">
        <v>674</v>
      </c>
      <c r="U17" s="4">
        <v>-450000</v>
      </c>
      <c r="V17"/>
      <c r="W17" s="15">
        <f t="shared" si="3"/>
        <v>44706</v>
      </c>
      <c r="X17" s="16" t="str">
        <f t="shared" si="4"/>
        <v>엑셀특별적금</v>
      </c>
      <c r="Y17" s="29">
        <f t="shared" si="5"/>
        <v>-450000</v>
      </c>
    </row>
    <row r="18" spans="2:25">
      <c r="B18" s="7" t="s">
        <v>659</v>
      </c>
      <c r="C18" s="4">
        <v>20128000</v>
      </c>
      <c r="E18" s="7" t="s">
        <v>541</v>
      </c>
      <c r="F18" s="4">
        <v>263600</v>
      </c>
      <c r="G18"/>
      <c r="K18"/>
      <c r="L18"/>
      <c r="M18"/>
      <c r="N18"/>
      <c r="O18"/>
      <c r="P18" s="7">
        <v>13</v>
      </c>
      <c r="Q18" s="4">
        <v>410100</v>
      </c>
      <c r="S18" s="3">
        <v>44706</v>
      </c>
      <c r="T18" s="1" t="s">
        <v>683</v>
      </c>
      <c r="U18" s="4">
        <v>2629000</v>
      </c>
      <c r="V18"/>
      <c r="W18" s="15">
        <f t="shared" si="3"/>
        <v>44706</v>
      </c>
      <c r="X18" s="16" t="str">
        <f t="shared" si="4"/>
        <v>오빠두엑셀</v>
      </c>
      <c r="Y18" s="29">
        <f t="shared" si="5"/>
        <v>2629000</v>
      </c>
    </row>
    <row r="19" spans="2:25">
      <c r="B19"/>
      <c r="C19"/>
      <c r="D19" s="5"/>
      <c r="E19" s="7" t="s">
        <v>517</v>
      </c>
      <c r="F19" s="4">
        <v>247200</v>
      </c>
      <c r="G19"/>
      <c r="K19"/>
      <c r="L19"/>
      <c r="M19"/>
      <c r="N19"/>
      <c r="O19"/>
      <c r="P19" s="7">
        <v>14</v>
      </c>
      <c r="Q19" s="4">
        <v>263800</v>
      </c>
      <c r="S19" s="3">
        <v>44706</v>
      </c>
      <c r="T19" s="1" t="s">
        <v>28</v>
      </c>
      <c r="U19" s="4">
        <v>-8500</v>
      </c>
      <c r="V19"/>
      <c r="W19" s="15">
        <f t="shared" si="3"/>
        <v>44706</v>
      </c>
      <c r="X19" s="16" t="str">
        <f t="shared" si="4"/>
        <v>육쌈냉면</v>
      </c>
      <c r="Y19" s="29">
        <f t="shared" si="5"/>
        <v>-8500</v>
      </c>
    </row>
    <row r="20" spans="2:25">
      <c r="B20"/>
      <c r="C20"/>
      <c r="D20" s="5"/>
      <c r="E20" s="7" t="s">
        <v>487</v>
      </c>
      <c r="F20" s="4">
        <v>222800</v>
      </c>
      <c r="G20"/>
      <c r="K20"/>
      <c r="L20"/>
      <c r="M20"/>
      <c r="N20"/>
      <c r="O20"/>
      <c r="P20" s="7">
        <v>15</v>
      </c>
      <c r="Q20" s="4">
        <v>1569300</v>
      </c>
      <c r="S20" s="3">
        <v>44706</v>
      </c>
      <c r="T20" s="1" t="s">
        <v>524</v>
      </c>
      <c r="U20" s="4">
        <v>-113600</v>
      </c>
      <c r="V20"/>
      <c r="W20" s="15">
        <f t="shared" si="3"/>
        <v>44706</v>
      </c>
      <c r="X20" s="16" t="str">
        <f t="shared" si="4"/>
        <v>자이아파트_관리비</v>
      </c>
      <c r="Y20" s="29">
        <f t="shared" si="5"/>
        <v>-113600</v>
      </c>
    </row>
    <row r="21" spans="2:25">
      <c r="E21" s="7" t="s">
        <v>267</v>
      </c>
      <c r="F21" s="4">
        <v>216400</v>
      </c>
      <c r="G21"/>
      <c r="K21"/>
      <c r="L21"/>
      <c r="M21"/>
      <c r="N21"/>
      <c r="O21"/>
      <c r="P21" s="7">
        <v>16</v>
      </c>
      <c r="Q21" s="4">
        <v>460000</v>
      </c>
      <c r="S21" s="3">
        <v>44706</v>
      </c>
      <c r="T21" s="1" t="s">
        <v>673</v>
      </c>
      <c r="U21" s="4">
        <v>-878400</v>
      </c>
      <c r="V21"/>
      <c r="W21" s="15">
        <f t="shared" si="3"/>
        <v>44706</v>
      </c>
      <c r="X21" s="16" t="str">
        <f t="shared" si="4"/>
        <v>자이아파트_월세</v>
      </c>
      <c r="Y21" s="29">
        <f t="shared" si="5"/>
        <v>-878400</v>
      </c>
    </row>
    <row r="22" spans="2:25">
      <c r="E22" s="7" t="s">
        <v>486</v>
      </c>
      <c r="F22" s="4">
        <v>215000</v>
      </c>
      <c r="G22"/>
      <c r="K22"/>
      <c r="L22"/>
      <c r="M22"/>
      <c r="N22"/>
      <c r="O22"/>
      <c r="P22" s="7">
        <v>17</v>
      </c>
      <c r="Q22" s="4">
        <v>6540900</v>
      </c>
      <c r="S22" s="3">
        <v>44706</v>
      </c>
      <c r="T22" s="1" t="s">
        <v>452</v>
      </c>
      <c r="U22" s="4">
        <v>-10000</v>
      </c>
      <c r="V22"/>
      <c r="W22" s="15">
        <f t="shared" si="3"/>
        <v>44706</v>
      </c>
      <c r="X22" s="16" t="str">
        <f t="shared" si="4"/>
        <v>카카오(기프티콘)</v>
      </c>
      <c r="Y22" s="29">
        <f t="shared" si="5"/>
        <v>-10000</v>
      </c>
    </row>
    <row r="23" spans="2:25">
      <c r="E23" s="7" t="s">
        <v>70</v>
      </c>
      <c r="F23" s="4">
        <v>202800</v>
      </c>
      <c r="G23"/>
      <c r="K23"/>
      <c r="L23"/>
      <c r="M23"/>
      <c r="N23"/>
      <c r="O23"/>
      <c r="P23" s="7">
        <v>18</v>
      </c>
      <c r="Q23" s="4">
        <v>2076400</v>
      </c>
      <c r="S23" s="3">
        <v>44706</v>
      </c>
      <c r="T23" s="1" t="s">
        <v>493</v>
      </c>
      <c r="U23" s="4">
        <v>-3900</v>
      </c>
      <c r="V23"/>
      <c r="W23" s="15">
        <f t="shared" ref="W23:W35" si="6">IF(S23="","",S23)</f>
        <v>44706</v>
      </c>
      <c r="X23" s="16" t="str">
        <f t="shared" ref="X23:X35" si="7">IF(T23="","",T23)</f>
        <v>할리스커피</v>
      </c>
      <c r="Y23" s="29">
        <f t="shared" ref="Y23:Y35" si="8">IF(U23="","",U23)</f>
        <v>-3900</v>
      </c>
    </row>
    <row r="24" spans="2:25">
      <c r="E24" s="7" t="s">
        <v>453</v>
      </c>
      <c r="F24" s="4">
        <v>197000</v>
      </c>
      <c r="G24"/>
      <c r="K24"/>
      <c r="L24"/>
      <c r="M24"/>
      <c r="N24"/>
      <c r="O24"/>
      <c r="P24" s="7">
        <v>19</v>
      </c>
      <c r="Q24" s="4">
        <v>664000</v>
      </c>
      <c r="S24" s="3">
        <v>44704</v>
      </c>
      <c r="T24" s="1" t="s">
        <v>492</v>
      </c>
      <c r="U24" s="4">
        <v>-2100</v>
      </c>
      <c r="V24"/>
      <c r="W24" s="15">
        <f t="shared" si="6"/>
        <v>44704</v>
      </c>
      <c r="X24" s="16" t="str">
        <f t="shared" si="7"/>
        <v>GS25 편의점</v>
      </c>
      <c r="Y24" s="29">
        <f t="shared" si="8"/>
        <v>-2100</v>
      </c>
    </row>
    <row r="25" spans="2:25">
      <c r="E25" s="7" t="s">
        <v>450</v>
      </c>
      <c r="F25" s="4">
        <v>162100</v>
      </c>
      <c r="G25"/>
      <c r="K25"/>
      <c r="L25"/>
      <c r="M25"/>
      <c r="N25"/>
      <c r="O25"/>
      <c r="P25" s="7">
        <v>20</v>
      </c>
      <c r="Q25" s="4">
        <v>718200</v>
      </c>
      <c r="S25" s="3">
        <v>44704</v>
      </c>
      <c r="T25" s="1" t="s">
        <v>31</v>
      </c>
      <c r="U25" s="4">
        <v>-1800</v>
      </c>
      <c r="V25"/>
      <c r="W25" s="15">
        <f t="shared" si="6"/>
        <v>44704</v>
      </c>
      <c r="X25" s="16" t="str">
        <f t="shared" si="7"/>
        <v>유튜브멤버십</v>
      </c>
      <c r="Y25" s="29">
        <f t="shared" si="8"/>
        <v>-1800</v>
      </c>
    </row>
    <row r="26" spans="2:25">
      <c r="E26" s="7" t="s">
        <v>311</v>
      </c>
      <c r="F26" s="4">
        <v>158400</v>
      </c>
      <c r="G26"/>
      <c r="K26"/>
      <c r="L26"/>
      <c r="M26"/>
      <c r="N26"/>
      <c r="O26"/>
      <c r="P26" s="7">
        <v>21</v>
      </c>
      <c r="Q26" s="4">
        <v>294400</v>
      </c>
      <c r="S26" s="3">
        <v>44703</v>
      </c>
      <c r="T26" s="1" t="s">
        <v>679</v>
      </c>
      <c r="U26" s="4">
        <v>-8500</v>
      </c>
      <c r="V26"/>
      <c r="W26" s="15">
        <f t="shared" si="6"/>
        <v>44703</v>
      </c>
      <c r="X26" s="16" t="str">
        <f t="shared" si="7"/>
        <v>엔젤리너스</v>
      </c>
      <c r="Y26" s="29">
        <f t="shared" si="8"/>
        <v>-8500</v>
      </c>
    </row>
    <row r="27" spans="2:25">
      <c r="E27" s="7" t="s">
        <v>491</v>
      </c>
      <c r="F27" s="4">
        <v>147300</v>
      </c>
      <c r="G27"/>
      <c r="K27"/>
      <c r="L27"/>
      <c r="M27"/>
      <c r="N27"/>
      <c r="O27"/>
      <c r="P27" s="7">
        <v>22</v>
      </c>
      <c r="Q27" s="4">
        <v>1115000</v>
      </c>
      <c r="S27" s="3">
        <v>44703</v>
      </c>
      <c r="T27" s="1" t="s">
        <v>496</v>
      </c>
      <c r="U27" s="4">
        <v>-4200</v>
      </c>
      <c r="V27"/>
      <c r="W27" s="15">
        <f t="shared" si="6"/>
        <v>44703</v>
      </c>
      <c r="X27" s="16" t="str">
        <f t="shared" si="7"/>
        <v>이마트24</v>
      </c>
      <c r="Y27" s="29">
        <f t="shared" si="8"/>
        <v>-4200</v>
      </c>
    </row>
    <row r="28" spans="2:25">
      <c r="E28" s="7" t="s">
        <v>519</v>
      </c>
      <c r="F28" s="4">
        <v>127500</v>
      </c>
      <c r="G28"/>
      <c r="K28"/>
      <c r="L28"/>
      <c r="M28"/>
      <c r="N28"/>
      <c r="O28"/>
      <c r="P28" s="7">
        <v>23</v>
      </c>
      <c r="Q28" s="4">
        <v>1049900</v>
      </c>
      <c r="S28" s="3">
        <v>44703</v>
      </c>
      <c r="T28" s="1" t="s">
        <v>35</v>
      </c>
      <c r="U28" s="4">
        <v>-113400</v>
      </c>
      <c r="V28"/>
      <c r="W28" s="15">
        <f t="shared" si="6"/>
        <v>44703</v>
      </c>
      <c r="X28" s="16" t="str">
        <f t="shared" si="7"/>
        <v>풀무원</v>
      </c>
      <c r="Y28" s="29">
        <f t="shared" si="8"/>
        <v>-113400</v>
      </c>
    </row>
    <row r="29" spans="2:25">
      <c r="E29" s="7" t="s">
        <v>514</v>
      </c>
      <c r="F29" s="4">
        <v>117900</v>
      </c>
      <c r="G29"/>
      <c r="K29"/>
      <c r="L29"/>
      <c r="M29"/>
      <c r="N29"/>
      <c r="O29"/>
      <c r="P29" s="7" t="s">
        <v>659</v>
      </c>
      <c r="Q29" s="4">
        <v>20128000</v>
      </c>
      <c r="S29" s="3">
        <v>44703</v>
      </c>
      <c r="T29" s="1" t="s">
        <v>493</v>
      </c>
      <c r="U29" s="4">
        <v>-5600</v>
      </c>
      <c r="V29"/>
      <c r="W29" s="15">
        <f t="shared" si="6"/>
        <v>44703</v>
      </c>
      <c r="X29" s="16" t="str">
        <f t="shared" si="7"/>
        <v>할리스커피</v>
      </c>
      <c r="Y29" s="29">
        <f t="shared" si="8"/>
        <v>-5600</v>
      </c>
    </row>
    <row r="30" spans="2:25">
      <c r="E30" s="7" t="s">
        <v>31</v>
      </c>
      <c r="F30" s="4">
        <v>98700</v>
      </c>
      <c r="G30"/>
      <c r="K30"/>
      <c r="L30"/>
      <c r="M30"/>
      <c r="N30"/>
      <c r="O30"/>
      <c r="P30"/>
      <c r="Q30"/>
      <c r="S30" s="3">
        <v>44702</v>
      </c>
      <c r="T30" s="1" t="s">
        <v>486</v>
      </c>
      <c r="U30" s="4">
        <v>-16600</v>
      </c>
      <c r="V30"/>
      <c r="W30" s="15">
        <f t="shared" si="6"/>
        <v>44702</v>
      </c>
      <c r="X30" s="16" t="str">
        <f t="shared" si="7"/>
        <v>MICROSOFT</v>
      </c>
      <c r="Y30" s="29">
        <f t="shared" si="8"/>
        <v>-16600</v>
      </c>
    </row>
    <row r="31" spans="2:25">
      <c r="E31" s="7" t="s">
        <v>675</v>
      </c>
      <c r="F31" s="4">
        <v>92100</v>
      </c>
      <c r="G31"/>
      <c r="K31"/>
      <c r="L31"/>
      <c r="M31"/>
      <c r="N31"/>
      <c r="O31"/>
      <c r="P31"/>
      <c r="Q31"/>
      <c r="S31" s="3">
        <v>44702</v>
      </c>
      <c r="T31" s="1" t="s">
        <v>459</v>
      </c>
      <c r="U31" s="4">
        <v>-10800</v>
      </c>
      <c r="V31"/>
      <c r="W31" s="15">
        <f t="shared" si="6"/>
        <v>44702</v>
      </c>
      <c r="X31" s="16" t="str">
        <f t="shared" si="7"/>
        <v>요기요멤버십</v>
      </c>
      <c r="Y31" s="29">
        <f t="shared" si="8"/>
        <v>-10800</v>
      </c>
    </row>
    <row r="32" spans="2:25">
      <c r="E32" s="7" t="s">
        <v>490</v>
      </c>
      <c r="F32" s="4">
        <v>85200</v>
      </c>
      <c r="G32"/>
      <c r="K32"/>
      <c r="L32"/>
      <c r="M32"/>
      <c r="N32"/>
      <c r="O32"/>
      <c r="P32"/>
      <c r="Q32"/>
      <c r="S32" s="3">
        <v>44702</v>
      </c>
      <c r="T32" s="1" t="s">
        <v>453</v>
      </c>
      <c r="U32" s="4">
        <v>-39700</v>
      </c>
      <c r="V32"/>
      <c r="W32" s="15">
        <f t="shared" si="6"/>
        <v>44702</v>
      </c>
      <c r="X32" s="16" t="str">
        <f t="shared" si="7"/>
        <v>카페24</v>
      </c>
      <c r="Y32" s="29">
        <f t="shared" si="8"/>
        <v>-39700</v>
      </c>
    </row>
    <row r="33" spans="5:25">
      <c r="E33" s="7" t="s">
        <v>448</v>
      </c>
      <c r="F33" s="4">
        <v>80100</v>
      </c>
      <c r="G33"/>
      <c r="K33"/>
      <c r="L33"/>
      <c r="M33"/>
      <c r="N33"/>
      <c r="O33"/>
      <c r="P33"/>
      <c r="Q33"/>
      <c r="S33" s="3">
        <v>44702</v>
      </c>
      <c r="T33" s="1" t="s">
        <v>493</v>
      </c>
      <c r="U33" s="4">
        <v>-5000</v>
      </c>
      <c r="V33"/>
      <c r="W33" s="15">
        <f t="shared" si="6"/>
        <v>44702</v>
      </c>
      <c r="X33" s="16" t="str">
        <f t="shared" si="7"/>
        <v>할리스커피</v>
      </c>
      <c r="Y33" s="29">
        <f t="shared" si="8"/>
        <v>-5000</v>
      </c>
    </row>
    <row r="34" spans="5:25">
      <c r="E34" s="7" t="s">
        <v>467</v>
      </c>
      <c r="F34" s="4">
        <v>76900</v>
      </c>
      <c r="G34"/>
      <c r="K34"/>
      <c r="L34"/>
      <c r="M34"/>
      <c r="N34"/>
      <c r="O34"/>
      <c r="P34"/>
      <c r="Q34"/>
      <c r="S34" s="3">
        <v>44701</v>
      </c>
      <c r="T34" s="1" t="s">
        <v>492</v>
      </c>
      <c r="U34" s="4">
        <v>-3200</v>
      </c>
      <c r="V34"/>
      <c r="W34" s="15">
        <f t="shared" si="6"/>
        <v>44701</v>
      </c>
      <c r="X34" s="16" t="str">
        <f t="shared" si="7"/>
        <v>GS25 편의점</v>
      </c>
      <c r="Y34" s="29">
        <f t="shared" si="8"/>
        <v>-3200</v>
      </c>
    </row>
    <row r="35" spans="5:25">
      <c r="E35" s="7" t="s">
        <v>458</v>
      </c>
      <c r="F35" s="4">
        <v>67600</v>
      </c>
      <c r="G35"/>
      <c r="K35"/>
      <c r="L35"/>
      <c r="M35"/>
      <c r="N35"/>
      <c r="O35"/>
      <c r="P35"/>
      <c r="Q35"/>
      <c r="S35" s="3">
        <v>44701</v>
      </c>
      <c r="T35" s="1" t="s">
        <v>464</v>
      </c>
      <c r="U35" s="4">
        <v>-9300</v>
      </c>
      <c r="V35"/>
      <c r="W35" s="15">
        <f t="shared" si="6"/>
        <v>44701</v>
      </c>
      <c r="X35" s="16" t="str">
        <f t="shared" si="7"/>
        <v>롯데리아</v>
      </c>
      <c r="Y35" s="29">
        <f t="shared" si="8"/>
        <v>-9300</v>
      </c>
    </row>
    <row r="36" spans="5:25">
      <c r="E36" s="7" t="s">
        <v>471</v>
      </c>
      <c r="F36" s="4">
        <v>63800</v>
      </c>
      <c r="G36"/>
      <c r="K36"/>
      <c r="L36"/>
      <c r="M36"/>
      <c r="N36"/>
      <c r="O36"/>
      <c r="P36"/>
      <c r="Q36"/>
      <c r="S36" s="3">
        <v>44701</v>
      </c>
      <c r="T36" s="1" t="s">
        <v>452</v>
      </c>
      <c r="U36" s="4">
        <v>-45500</v>
      </c>
      <c r="V36"/>
      <c r="W36" s="1"/>
      <c r="X36" s="1"/>
      <c r="Y36" s="1"/>
    </row>
    <row r="37" spans="5:25">
      <c r="E37" s="7" t="s">
        <v>496</v>
      </c>
      <c r="F37" s="4">
        <v>62700</v>
      </c>
      <c r="G37"/>
      <c r="K37"/>
      <c r="L37"/>
      <c r="M37"/>
      <c r="N37"/>
      <c r="O37"/>
      <c r="P37"/>
      <c r="Q37"/>
      <c r="S37" s="3">
        <v>44700</v>
      </c>
      <c r="T37" s="1" t="s">
        <v>517</v>
      </c>
      <c r="U37" s="4">
        <v>-82400</v>
      </c>
      <c r="V37"/>
      <c r="W37" s="1"/>
      <c r="X37" s="1"/>
      <c r="Y37" s="1"/>
    </row>
    <row r="38" spans="5:25">
      <c r="E38" s="7" t="s">
        <v>696</v>
      </c>
      <c r="F38" s="4">
        <v>58600</v>
      </c>
      <c r="G38"/>
      <c r="K38"/>
      <c r="L38"/>
      <c r="M38"/>
      <c r="N38"/>
      <c r="O38"/>
      <c r="P38"/>
      <c r="Q38"/>
      <c r="S38" s="3">
        <v>44700</v>
      </c>
      <c r="T38" s="1" t="s">
        <v>493</v>
      </c>
      <c r="U38" s="4">
        <v>-4300</v>
      </c>
      <c r="V38"/>
      <c r="W38" s="1"/>
      <c r="X38" s="1"/>
      <c r="Y38" s="1"/>
    </row>
    <row r="39" spans="5:25">
      <c r="E39" s="7" t="s">
        <v>456</v>
      </c>
      <c r="F39" s="4">
        <v>56500</v>
      </c>
      <c r="G39"/>
      <c r="K39"/>
      <c r="L39"/>
      <c r="M39"/>
      <c r="N39"/>
      <c r="O39"/>
      <c r="P39"/>
      <c r="Q39"/>
      <c r="S39" s="3">
        <v>44699</v>
      </c>
      <c r="T39" s="1" t="s">
        <v>448</v>
      </c>
      <c r="U39" s="4">
        <v>-4900</v>
      </c>
      <c r="V39"/>
      <c r="W39" s="1"/>
      <c r="X39" s="1"/>
      <c r="Y39" s="1"/>
    </row>
    <row r="40" spans="5:25">
      <c r="E40" s="7" t="s">
        <v>511</v>
      </c>
      <c r="F40" s="4">
        <v>56500</v>
      </c>
      <c r="G40"/>
      <c r="K40"/>
      <c r="L40"/>
      <c r="M40"/>
      <c r="N40"/>
      <c r="O40"/>
      <c r="P40"/>
      <c r="Q40"/>
      <c r="S40" s="3">
        <v>44699</v>
      </c>
      <c r="T40" s="1" t="s">
        <v>463</v>
      </c>
      <c r="U40" s="4">
        <v>-12900</v>
      </c>
      <c r="V40"/>
      <c r="W40" s="1"/>
      <c r="X40" s="1"/>
      <c r="Y40" s="1"/>
    </row>
    <row r="41" spans="5:25">
      <c r="E41" s="7" t="s">
        <v>676</v>
      </c>
      <c r="F41" s="4">
        <v>56400</v>
      </c>
      <c r="G41"/>
      <c r="K41"/>
      <c r="L41"/>
      <c r="M41"/>
      <c r="N41"/>
      <c r="O41"/>
      <c r="P41"/>
      <c r="Q41"/>
      <c r="S41" s="3">
        <v>44699</v>
      </c>
      <c r="T41" s="1" t="s">
        <v>48</v>
      </c>
      <c r="U41" s="4">
        <v>-7000</v>
      </c>
      <c r="V41"/>
      <c r="W41" s="1"/>
      <c r="X41" s="1"/>
      <c r="Y41" s="1"/>
    </row>
    <row r="42" spans="5:25">
      <c r="E42" s="7" t="s">
        <v>93</v>
      </c>
      <c r="F42" s="4">
        <v>55300</v>
      </c>
      <c r="G42"/>
      <c r="K42"/>
      <c r="L42"/>
      <c r="M42"/>
      <c r="N42"/>
      <c r="O42"/>
      <c r="P42"/>
      <c r="Q42"/>
      <c r="S42" s="3">
        <v>44698</v>
      </c>
      <c r="T42" s="1" t="s">
        <v>456</v>
      </c>
      <c r="U42" s="4">
        <v>-2100</v>
      </c>
      <c r="V42"/>
      <c r="W42" s="1"/>
      <c r="X42" s="1"/>
      <c r="Y42" s="1"/>
    </row>
    <row r="43" spans="5:25">
      <c r="E43" s="7" t="s">
        <v>472</v>
      </c>
      <c r="F43" s="4">
        <v>55000</v>
      </c>
      <c r="G43"/>
      <c r="K43"/>
      <c r="L43"/>
      <c r="M43"/>
      <c r="N43"/>
      <c r="O43"/>
      <c r="P43"/>
      <c r="Q43"/>
      <c r="S43" s="3">
        <v>44698</v>
      </c>
      <c r="T43" s="1" t="s">
        <v>493</v>
      </c>
      <c r="U43" s="4">
        <v>-4200</v>
      </c>
      <c r="V43"/>
      <c r="W43" s="1"/>
      <c r="X43" s="1"/>
      <c r="Y43" s="1"/>
    </row>
    <row r="44" spans="5:25">
      <c r="E44" s="7" t="s">
        <v>48</v>
      </c>
      <c r="F44" s="4">
        <v>52100</v>
      </c>
      <c r="G44"/>
      <c r="K44"/>
      <c r="L44"/>
      <c r="M44"/>
      <c r="N44"/>
      <c r="O44"/>
      <c r="P44"/>
      <c r="Q44"/>
      <c r="S44" s="3">
        <v>44697</v>
      </c>
      <c r="T44" s="1" t="s">
        <v>675</v>
      </c>
      <c r="U44" s="4">
        <v>-20200</v>
      </c>
      <c r="V44"/>
      <c r="W44" s="1"/>
      <c r="X44" s="1"/>
      <c r="Y44" s="1"/>
    </row>
    <row r="45" spans="5:25">
      <c r="E45" s="7" t="s">
        <v>469</v>
      </c>
      <c r="F45" s="4">
        <v>48100</v>
      </c>
      <c r="G45"/>
      <c r="K45"/>
      <c r="L45"/>
      <c r="M45"/>
      <c r="N45"/>
      <c r="O45"/>
      <c r="P45"/>
      <c r="Q45"/>
      <c r="S45" s="3">
        <v>44695</v>
      </c>
      <c r="T45" s="1" t="s">
        <v>474</v>
      </c>
      <c r="U45" s="4">
        <v>-2400</v>
      </c>
      <c r="V45"/>
    </row>
    <row r="46" spans="5:25">
      <c r="E46" s="7" t="s">
        <v>521</v>
      </c>
      <c r="F46" s="4">
        <v>47900</v>
      </c>
      <c r="G46"/>
      <c r="K46"/>
      <c r="L46"/>
      <c r="M46"/>
      <c r="N46"/>
      <c r="O46"/>
      <c r="P46"/>
      <c r="Q46"/>
      <c r="S46" s="3">
        <v>44695</v>
      </c>
      <c r="T46" s="1" t="s">
        <v>501</v>
      </c>
      <c r="U46" s="4">
        <v>-3400</v>
      </c>
      <c r="V46"/>
    </row>
    <row r="47" spans="5:25">
      <c r="E47" s="7" t="s">
        <v>499</v>
      </c>
      <c r="F47" s="4">
        <v>43200</v>
      </c>
      <c r="G47"/>
      <c r="K47"/>
      <c r="L47"/>
      <c r="M47"/>
      <c r="N47"/>
      <c r="O47"/>
      <c r="P47"/>
      <c r="Q47"/>
      <c r="S47" s="3">
        <v>44694</v>
      </c>
      <c r="T47" s="1" t="s">
        <v>492</v>
      </c>
      <c r="U47" s="4">
        <v>-4300</v>
      </c>
      <c r="V47"/>
    </row>
    <row r="48" spans="5:25">
      <c r="E48" s="7" t="s">
        <v>464</v>
      </c>
      <c r="F48" s="4">
        <v>40100</v>
      </c>
      <c r="G48"/>
      <c r="K48"/>
      <c r="L48"/>
      <c r="M48"/>
      <c r="N48"/>
      <c r="O48"/>
      <c r="P48"/>
      <c r="Q48"/>
      <c r="S48" s="3">
        <v>44694</v>
      </c>
      <c r="T48" s="1" t="s">
        <v>481</v>
      </c>
      <c r="U48" s="4">
        <v>-266800</v>
      </c>
      <c r="V48"/>
    </row>
    <row r="49" spans="5:22">
      <c r="E49" s="7" t="s">
        <v>451</v>
      </c>
      <c r="F49" s="4">
        <v>39700</v>
      </c>
      <c r="G49"/>
      <c r="K49"/>
      <c r="L49"/>
      <c r="M49"/>
      <c r="N49"/>
      <c r="O49"/>
      <c r="P49"/>
      <c r="Q49"/>
      <c r="S49" s="3">
        <v>44694</v>
      </c>
      <c r="T49" s="1" t="s">
        <v>678</v>
      </c>
      <c r="U49" s="4">
        <v>-21800</v>
      </c>
      <c r="V49"/>
    </row>
    <row r="50" spans="5:22">
      <c r="E50" s="7" t="s">
        <v>677</v>
      </c>
      <c r="F50" s="4">
        <v>39000</v>
      </c>
      <c r="G50"/>
      <c r="K50"/>
      <c r="L50"/>
      <c r="M50"/>
      <c r="N50"/>
      <c r="O50"/>
      <c r="P50"/>
      <c r="Q50"/>
      <c r="S50" s="3">
        <v>44694</v>
      </c>
      <c r="T50" s="1" t="s">
        <v>467</v>
      </c>
      <c r="U50" s="4">
        <v>-24900</v>
      </c>
      <c r="V50"/>
    </row>
    <row r="51" spans="5:22">
      <c r="E51" s="7" t="s">
        <v>678</v>
      </c>
      <c r="F51" s="4">
        <v>34800</v>
      </c>
      <c r="G51"/>
      <c r="K51"/>
      <c r="L51"/>
      <c r="M51"/>
      <c r="N51"/>
      <c r="O51"/>
      <c r="P51"/>
      <c r="Q51"/>
      <c r="S51" s="3">
        <v>44694</v>
      </c>
      <c r="T51" s="1" t="s">
        <v>493</v>
      </c>
      <c r="U51" s="4">
        <v>-4600</v>
      </c>
      <c r="V51"/>
    </row>
    <row r="52" spans="5:22">
      <c r="E52" s="7" t="s">
        <v>459</v>
      </c>
      <c r="F52" s="4">
        <v>34000</v>
      </c>
      <c r="G52"/>
      <c r="K52"/>
      <c r="L52"/>
      <c r="M52"/>
      <c r="N52"/>
      <c r="O52"/>
      <c r="P52"/>
      <c r="Q52"/>
      <c r="S52" s="3">
        <v>44693</v>
      </c>
      <c r="T52" s="1" t="s">
        <v>493</v>
      </c>
      <c r="U52" s="4">
        <v>-9200</v>
      </c>
      <c r="V52"/>
    </row>
    <row r="53" spans="5:22">
      <c r="E53" s="7" t="s">
        <v>522</v>
      </c>
      <c r="F53" s="4">
        <v>32000</v>
      </c>
      <c r="G53"/>
      <c r="K53"/>
      <c r="L53"/>
      <c r="M53"/>
      <c r="N53"/>
      <c r="O53"/>
      <c r="P53"/>
      <c r="Q53"/>
      <c r="S53" s="3">
        <v>44693</v>
      </c>
      <c r="T53" s="1" t="s">
        <v>681</v>
      </c>
      <c r="U53" s="4">
        <v>-11500</v>
      </c>
      <c r="V53"/>
    </row>
    <row r="54" spans="5:22">
      <c r="E54" s="7" t="s">
        <v>28</v>
      </c>
      <c r="F54" s="4">
        <v>29700</v>
      </c>
      <c r="G54"/>
      <c r="K54"/>
      <c r="L54"/>
      <c r="M54"/>
      <c r="N54"/>
      <c r="O54"/>
      <c r="P54"/>
      <c r="Q54"/>
      <c r="S54" s="3">
        <v>44692</v>
      </c>
      <c r="T54" s="1" t="s">
        <v>452</v>
      </c>
      <c r="U54" s="4">
        <v>-11500</v>
      </c>
      <c r="V54"/>
    </row>
    <row r="55" spans="5:22">
      <c r="E55" s="7" t="s">
        <v>127</v>
      </c>
      <c r="F55" s="4">
        <v>29300</v>
      </c>
      <c r="G55"/>
      <c r="K55"/>
      <c r="L55"/>
      <c r="M55"/>
      <c r="N55"/>
      <c r="O55"/>
      <c r="P55"/>
      <c r="Q55"/>
      <c r="S55" s="3">
        <v>44692</v>
      </c>
      <c r="T55" s="1" t="s">
        <v>13</v>
      </c>
      <c r="U55" s="4">
        <v>-4400</v>
      </c>
      <c r="V55"/>
    </row>
    <row r="56" spans="5:22">
      <c r="E56" s="7" t="s">
        <v>463</v>
      </c>
      <c r="F56" s="4">
        <v>27800</v>
      </c>
      <c r="G56"/>
      <c r="K56"/>
      <c r="L56"/>
      <c r="M56"/>
      <c r="N56"/>
      <c r="O56"/>
      <c r="P56"/>
      <c r="Q56"/>
      <c r="S56" s="3">
        <v>44692</v>
      </c>
      <c r="T56" s="1" t="s">
        <v>680</v>
      </c>
      <c r="U56" s="4">
        <v>-18600</v>
      </c>
      <c r="V56"/>
    </row>
    <row r="57" spans="5:22">
      <c r="E57" s="7" t="s">
        <v>478</v>
      </c>
      <c r="F57" s="4">
        <v>26500</v>
      </c>
      <c r="G57"/>
      <c r="K57"/>
      <c r="L57"/>
      <c r="M57"/>
      <c r="N57"/>
      <c r="O57"/>
      <c r="P57"/>
      <c r="Q57"/>
      <c r="S57" s="3">
        <v>44691</v>
      </c>
      <c r="T57" s="1" t="s">
        <v>492</v>
      </c>
      <c r="U57" s="4">
        <v>-3800</v>
      </c>
      <c r="V57"/>
    </row>
    <row r="58" spans="5:22">
      <c r="E58" s="7" t="s">
        <v>679</v>
      </c>
      <c r="F58" s="4">
        <v>25800</v>
      </c>
      <c r="G58"/>
      <c r="K58"/>
      <c r="L58"/>
      <c r="M58"/>
      <c r="N58"/>
      <c r="O58"/>
      <c r="P58"/>
      <c r="Q58"/>
      <c r="S58" s="3">
        <v>44691</v>
      </c>
      <c r="T58" s="1" t="s">
        <v>31</v>
      </c>
      <c r="U58" s="4">
        <v>-2200</v>
      </c>
      <c r="V58"/>
    </row>
    <row r="59" spans="5:22">
      <c r="E59" s="7" t="s">
        <v>484</v>
      </c>
      <c r="F59" s="4">
        <v>24600</v>
      </c>
      <c r="G59"/>
      <c r="K59"/>
      <c r="L59"/>
      <c r="M59"/>
      <c r="N59"/>
      <c r="O59"/>
      <c r="P59"/>
      <c r="Q59"/>
      <c r="S59" s="3">
        <v>44689</v>
      </c>
      <c r="T59" s="1" t="s">
        <v>492</v>
      </c>
      <c r="U59" s="4">
        <v>-15400</v>
      </c>
      <c r="V59"/>
    </row>
    <row r="60" spans="5:22">
      <c r="E60" s="7" t="s">
        <v>455</v>
      </c>
      <c r="F60" s="4">
        <v>23800</v>
      </c>
      <c r="G60"/>
      <c r="K60"/>
      <c r="L60"/>
      <c r="M60"/>
      <c r="N60"/>
      <c r="O60"/>
      <c r="P60"/>
      <c r="Q60"/>
      <c r="S60" s="3">
        <v>44689</v>
      </c>
      <c r="T60" s="1" t="s">
        <v>31</v>
      </c>
      <c r="U60" s="4">
        <v>-12300</v>
      </c>
      <c r="V60"/>
    </row>
    <row r="61" spans="5:22">
      <c r="E61" s="7" t="s">
        <v>697</v>
      </c>
      <c r="F61" s="4">
        <v>21800</v>
      </c>
      <c r="G61"/>
      <c r="K61"/>
      <c r="L61"/>
      <c r="M61"/>
      <c r="N61"/>
      <c r="O61"/>
      <c r="P61"/>
      <c r="Q61"/>
      <c r="S61" s="3">
        <v>44689</v>
      </c>
      <c r="T61" s="1" t="s">
        <v>70</v>
      </c>
      <c r="U61" s="4">
        <v>-202800</v>
      </c>
      <c r="V61"/>
    </row>
    <row r="62" spans="5:22">
      <c r="E62" s="7" t="s">
        <v>698</v>
      </c>
      <c r="F62" s="4">
        <v>21700</v>
      </c>
      <c r="G62"/>
      <c r="K62"/>
      <c r="L62"/>
      <c r="M62"/>
      <c r="N62"/>
      <c r="O62"/>
      <c r="P62"/>
      <c r="Q62"/>
      <c r="S62" s="3">
        <v>44687</v>
      </c>
      <c r="T62" s="1" t="s">
        <v>492</v>
      </c>
      <c r="U62" s="4">
        <v>-5700</v>
      </c>
      <c r="V62"/>
    </row>
    <row r="63" spans="5:22">
      <c r="E63" s="7" t="s">
        <v>304</v>
      </c>
      <c r="F63" s="4">
        <v>21500</v>
      </c>
      <c r="G63"/>
      <c r="K63"/>
      <c r="L63"/>
      <c r="M63"/>
      <c r="N63"/>
      <c r="O63"/>
      <c r="P63"/>
      <c r="Q63"/>
      <c r="S63" s="3">
        <v>44687</v>
      </c>
      <c r="T63" s="1" t="s">
        <v>452</v>
      </c>
      <c r="U63" s="4">
        <v>-12200</v>
      </c>
      <c r="V63"/>
    </row>
    <row r="64" spans="5:22">
      <c r="E64" s="7" t="s">
        <v>699</v>
      </c>
      <c r="F64" s="4">
        <v>21400</v>
      </c>
      <c r="G64"/>
      <c r="K64"/>
      <c r="L64"/>
      <c r="M64"/>
      <c r="N64"/>
      <c r="O64"/>
      <c r="P64"/>
      <c r="Q64"/>
      <c r="S64" s="3">
        <v>44687</v>
      </c>
      <c r="T64" s="1" t="s">
        <v>13</v>
      </c>
      <c r="U64" s="4">
        <v>-14300</v>
      </c>
      <c r="V64"/>
    </row>
    <row r="65" spans="5:22">
      <c r="E65" s="7" t="s">
        <v>700</v>
      </c>
      <c r="F65" s="4">
        <v>20400</v>
      </c>
      <c r="G65"/>
      <c r="K65"/>
      <c r="L65"/>
      <c r="M65"/>
      <c r="N65"/>
      <c r="O65"/>
      <c r="P65"/>
      <c r="Q65"/>
      <c r="S65" s="3">
        <v>44687</v>
      </c>
      <c r="T65" s="1" t="s">
        <v>493</v>
      </c>
      <c r="U65" s="4">
        <v>-5000</v>
      </c>
      <c r="V65"/>
    </row>
    <row r="66" spans="5:22">
      <c r="E66" s="7" t="s">
        <v>466</v>
      </c>
      <c r="F66" s="4">
        <v>20400</v>
      </c>
      <c r="G66"/>
      <c r="K66"/>
      <c r="L66"/>
      <c r="M66"/>
      <c r="N66"/>
      <c r="O66"/>
      <c r="P66"/>
      <c r="Q66"/>
      <c r="S66" s="3">
        <v>44687</v>
      </c>
      <c r="T66" s="1" t="s">
        <v>676</v>
      </c>
      <c r="U66" s="4">
        <v>-56400</v>
      </c>
      <c r="V66"/>
    </row>
    <row r="67" spans="5:22">
      <c r="E67" s="7" t="s">
        <v>701</v>
      </c>
      <c r="F67" s="4">
        <v>19400</v>
      </c>
      <c r="G67"/>
      <c r="K67"/>
      <c r="L67"/>
      <c r="M67"/>
      <c r="N67"/>
      <c r="O67"/>
      <c r="P67"/>
      <c r="Q67"/>
      <c r="S67" s="3">
        <v>44687</v>
      </c>
      <c r="T67" s="1" t="s">
        <v>76</v>
      </c>
      <c r="U67" s="4">
        <v>-5100</v>
      </c>
      <c r="V67"/>
    </row>
    <row r="68" spans="5:22">
      <c r="E68" s="7" t="s">
        <v>507</v>
      </c>
      <c r="F68" s="4">
        <v>19400</v>
      </c>
      <c r="G68"/>
      <c r="K68"/>
      <c r="L68"/>
      <c r="M68"/>
      <c r="N68"/>
      <c r="O68"/>
      <c r="P68"/>
      <c r="Q68"/>
      <c r="S68" s="3">
        <v>44686</v>
      </c>
      <c r="T68" s="1" t="s">
        <v>452</v>
      </c>
      <c r="U68" s="4">
        <v>-103700</v>
      </c>
      <c r="V68"/>
    </row>
    <row r="69" spans="5:22">
      <c r="E69" s="7" t="s">
        <v>702</v>
      </c>
      <c r="F69" s="4">
        <v>19000</v>
      </c>
      <c r="G69"/>
      <c r="K69"/>
      <c r="L69"/>
      <c r="M69"/>
      <c r="N69"/>
      <c r="O69"/>
      <c r="P69"/>
      <c r="Q69"/>
      <c r="S69" s="3">
        <v>44685</v>
      </c>
      <c r="T69" s="1" t="s">
        <v>492</v>
      </c>
      <c r="U69" s="4">
        <v>-8900</v>
      </c>
      <c r="V69"/>
    </row>
    <row r="70" spans="5:22">
      <c r="E70" s="7" t="s">
        <v>680</v>
      </c>
      <c r="F70" s="4">
        <v>18600</v>
      </c>
      <c r="G70"/>
      <c r="K70"/>
      <c r="L70"/>
      <c r="M70"/>
      <c r="N70"/>
      <c r="O70"/>
      <c r="P70"/>
      <c r="Q70"/>
      <c r="S70" s="3">
        <v>44685</v>
      </c>
      <c r="T70" s="1" t="s">
        <v>682</v>
      </c>
      <c r="U70" s="4">
        <v>160730</v>
      </c>
      <c r="V70"/>
    </row>
    <row r="71" spans="5:22">
      <c r="E71" s="7" t="s">
        <v>510</v>
      </c>
      <c r="F71" s="4">
        <v>18400</v>
      </c>
      <c r="G71"/>
      <c r="K71"/>
      <c r="L71"/>
      <c r="M71"/>
      <c r="N71"/>
      <c r="O71"/>
      <c r="P71"/>
      <c r="Q71"/>
      <c r="S71" s="3">
        <v>44685</v>
      </c>
      <c r="T71" s="1" t="s">
        <v>458</v>
      </c>
      <c r="U71" s="4">
        <v>-26900</v>
      </c>
      <c r="V71"/>
    </row>
    <row r="72" spans="5:22">
      <c r="E72" s="7" t="s">
        <v>703</v>
      </c>
      <c r="F72" s="4">
        <v>18400</v>
      </c>
      <c r="G72"/>
      <c r="K72"/>
      <c r="L72"/>
      <c r="M72"/>
      <c r="N72"/>
      <c r="O72"/>
      <c r="P72"/>
      <c r="Q72"/>
      <c r="S72" s="3">
        <v>44685</v>
      </c>
      <c r="T72" s="1" t="s">
        <v>493</v>
      </c>
      <c r="U72" s="4">
        <v>-3800</v>
      </c>
      <c r="V72"/>
    </row>
    <row r="73" spans="5:22">
      <c r="E73" s="7" t="s">
        <v>704</v>
      </c>
      <c r="F73" s="4">
        <v>17000</v>
      </c>
      <c r="G73"/>
      <c r="K73"/>
      <c r="L73"/>
      <c r="M73"/>
      <c r="N73"/>
      <c r="O73"/>
      <c r="P73"/>
      <c r="Q73"/>
      <c r="S73" s="3">
        <v>44684</v>
      </c>
      <c r="T73" s="1" t="s">
        <v>88</v>
      </c>
      <c r="U73" s="4">
        <v>-198800</v>
      </c>
      <c r="V73"/>
    </row>
    <row r="74" spans="5:22">
      <c r="E74" s="7" t="s">
        <v>705</v>
      </c>
      <c r="F74" s="4">
        <v>16800</v>
      </c>
      <c r="G74"/>
      <c r="K74"/>
      <c r="L74"/>
      <c r="M74"/>
      <c r="N74"/>
      <c r="O74"/>
      <c r="P74"/>
      <c r="Q74"/>
      <c r="S74" s="3">
        <v>44684</v>
      </c>
      <c r="T74" s="1" t="s">
        <v>31</v>
      </c>
      <c r="U74" s="4">
        <v>-5400</v>
      </c>
      <c r="V74"/>
    </row>
    <row r="75" spans="5:22">
      <c r="E75" s="7" t="s">
        <v>706</v>
      </c>
      <c r="F75" s="4">
        <v>16600</v>
      </c>
      <c r="G75"/>
      <c r="K75"/>
      <c r="L75"/>
      <c r="M75"/>
      <c r="N75"/>
      <c r="O75"/>
      <c r="P75"/>
      <c r="Q75"/>
      <c r="S75" s="3">
        <v>44684</v>
      </c>
      <c r="T75" s="1" t="s">
        <v>456</v>
      </c>
      <c r="U75" s="4">
        <v>-1200</v>
      </c>
      <c r="V75"/>
    </row>
    <row r="76" spans="5:22">
      <c r="E76" s="7" t="s">
        <v>480</v>
      </c>
      <c r="F76" s="4">
        <v>16600</v>
      </c>
      <c r="G76"/>
      <c r="K76"/>
      <c r="L76"/>
      <c r="M76"/>
      <c r="N76"/>
      <c r="O76"/>
      <c r="P76"/>
      <c r="Q76"/>
      <c r="S76" s="3">
        <v>44683</v>
      </c>
      <c r="T76" s="1" t="s">
        <v>490</v>
      </c>
      <c r="U76" s="4">
        <v>-17100</v>
      </c>
      <c r="V76"/>
    </row>
    <row r="77" spans="5:22">
      <c r="E77" s="7" t="s">
        <v>513</v>
      </c>
      <c r="F77" s="4">
        <v>16000</v>
      </c>
      <c r="G77"/>
      <c r="K77"/>
      <c r="L77"/>
      <c r="M77"/>
      <c r="N77"/>
      <c r="O77"/>
      <c r="P77"/>
      <c r="Q77"/>
      <c r="S77" s="3">
        <v>44682</v>
      </c>
      <c r="T77" s="1" t="s">
        <v>492</v>
      </c>
      <c r="U77" s="4">
        <v>-4000</v>
      </c>
      <c r="V77"/>
    </row>
    <row r="78" spans="5:22">
      <c r="E78" s="7" t="s">
        <v>482</v>
      </c>
      <c r="F78" s="4">
        <v>15000</v>
      </c>
      <c r="G78"/>
      <c r="K78"/>
      <c r="L78"/>
      <c r="M78"/>
      <c r="N78"/>
      <c r="O78"/>
      <c r="P78"/>
      <c r="Q78"/>
      <c r="S78" s="3">
        <v>44682</v>
      </c>
      <c r="T78" s="1" t="s">
        <v>468</v>
      </c>
      <c r="U78" s="4">
        <v>-5200</v>
      </c>
      <c r="V78"/>
    </row>
    <row r="79" spans="5:22">
      <c r="E79" s="7" t="s">
        <v>474</v>
      </c>
      <c r="F79" s="4">
        <v>14000</v>
      </c>
      <c r="G79"/>
      <c r="K79"/>
      <c r="L79"/>
      <c r="M79"/>
      <c r="N79"/>
      <c r="O79"/>
      <c r="P79"/>
      <c r="Q79"/>
      <c r="S79" s="3">
        <v>44682</v>
      </c>
      <c r="T79" s="1" t="s">
        <v>93</v>
      </c>
      <c r="U79" s="4">
        <v>-55300</v>
      </c>
      <c r="V79"/>
    </row>
    <row r="80" spans="5:22">
      <c r="E80" s="7" t="s">
        <v>518</v>
      </c>
      <c r="F80" s="4">
        <v>13900</v>
      </c>
      <c r="G80"/>
      <c r="K80"/>
      <c r="L80"/>
      <c r="M80"/>
      <c r="N80"/>
      <c r="O80"/>
      <c r="P80"/>
      <c r="Q80"/>
      <c r="S80" s="3">
        <v>44681</v>
      </c>
      <c r="T80" s="1" t="s">
        <v>679</v>
      </c>
      <c r="U80" s="4">
        <v>-8500</v>
      </c>
      <c r="V80"/>
    </row>
    <row r="81" spans="5:22">
      <c r="E81" s="7" t="s">
        <v>707</v>
      </c>
      <c r="F81" s="4">
        <v>12500</v>
      </c>
      <c r="G81"/>
      <c r="K81"/>
      <c r="L81"/>
      <c r="M81"/>
      <c r="N81"/>
      <c r="O81"/>
      <c r="P81"/>
      <c r="Q81"/>
      <c r="S81" s="3">
        <v>44680</v>
      </c>
      <c r="T81" s="1" t="s">
        <v>492</v>
      </c>
      <c r="U81" s="4">
        <v>-1800</v>
      </c>
      <c r="V81"/>
    </row>
    <row r="82" spans="5:22">
      <c r="E82" s="7" t="s">
        <v>708</v>
      </c>
      <c r="F82" s="4">
        <v>11800</v>
      </c>
      <c r="G82"/>
      <c r="K82"/>
      <c r="L82"/>
      <c r="M82"/>
      <c r="N82"/>
      <c r="O82"/>
      <c r="P82"/>
      <c r="Q82"/>
      <c r="S82" s="3">
        <v>44680</v>
      </c>
      <c r="T82" s="1" t="s">
        <v>514</v>
      </c>
      <c r="U82" s="4">
        <v>-6400</v>
      </c>
      <c r="V82"/>
    </row>
    <row r="83" spans="5:22">
      <c r="E83" s="7" t="s">
        <v>681</v>
      </c>
      <c r="F83" s="4">
        <v>11500</v>
      </c>
      <c r="G83"/>
      <c r="K83"/>
      <c r="L83"/>
      <c r="M83"/>
      <c r="N83"/>
      <c r="O83"/>
      <c r="P83"/>
      <c r="Q83"/>
      <c r="S83" s="3">
        <v>44680</v>
      </c>
      <c r="T83" s="1" t="s">
        <v>13</v>
      </c>
      <c r="U83" s="4">
        <v>-22800</v>
      </c>
      <c r="V83"/>
    </row>
    <row r="84" spans="5:22">
      <c r="E84" s="7" t="s">
        <v>502</v>
      </c>
      <c r="F84" s="4">
        <v>11000</v>
      </c>
      <c r="G84"/>
      <c r="K84"/>
      <c r="L84"/>
      <c r="M84"/>
      <c r="N84"/>
      <c r="O84"/>
      <c r="P84"/>
      <c r="Q84"/>
      <c r="S84" s="3">
        <v>44680</v>
      </c>
      <c r="T84" s="1" t="s">
        <v>456</v>
      </c>
      <c r="U84" s="4">
        <v>-4000</v>
      </c>
      <c r="V84"/>
    </row>
    <row r="85" spans="5:22">
      <c r="E85" s="7" t="s">
        <v>709</v>
      </c>
      <c r="F85" s="4">
        <v>10900</v>
      </c>
      <c r="G85"/>
      <c r="K85"/>
      <c r="L85"/>
      <c r="M85"/>
      <c r="N85"/>
      <c r="O85"/>
      <c r="P85"/>
      <c r="Q85"/>
      <c r="S85" s="3">
        <v>44680</v>
      </c>
      <c r="T85" s="1" t="s">
        <v>493</v>
      </c>
      <c r="U85" s="4">
        <v>-5000</v>
      </c>
      <c r="V85"/>
    </row>
    <row r="86" spans="5:22">
      <c r="E86" s="7" t="s">
        <v>485</v>
      </c>
      <c r="F86" s="4">
        <v>10700</v>
      </c>
      <c r="G86"/>
      <c r="K86"/>
      <c r="L86"/>
      <c r="M86"/>
      <c r="N86"/>
      <c r="O86"/>
      <c r="P86"/>
      <c r="Q86"/>
      <c r="S86" s="3">
        <v>44679</v>
      </c>
      <c r="T86" s="1" t="s">
        <v>482</v>
      </c>
      <c r="U86" s="4">
        <v>-11900</v>
      </c>
      <c r="V86"/>
    </row>
    <row r="87" spans="5:22">
      <c r="E87" s="7" t="s">
        <v>468</v>
      </c>
      <c r="F87" s="4">
        <v>10500</v>
      </c>
      <c r="G87"/>
      <c r="K87"/>
      <c r="L87"/>
      <c r="M87"/>
      <c r="N87"/>
      <c r="O87"/>
      <c r="P87"/>
      <c r="Q87"/>
      <c r="S87" s="3">
        <v>44679</v>
      </c>
      <c r="T87" s="1" t="s">
        <v>493</v>
      </c>
      <c r="U87" s="4">
        <v>-4700</v>
      </c>
      <c r="V87"/>
    </row>
    <row r="88" spans="5:22">
      <c r="E88" s="7" t="s">
        <v>520</v>
      </c>
      <c r="F88" s="4">
        <v>9200</v>
      </c>
      <c r="G88"/>
      <c r="K88"/>
      <c r="L88"/>
      <c r="M88"/>
      <c r="N88"/>
      <c r="O88"/>
      <c r="P88"/>
      <c r="Q88"/>
      <c r="S88" s="3">
        <v>44678</v>
      </c>
      <c r="T88" s="1" t="s">
        <v>524</v>
      </c>
      <c r="U88" s="4">
        <v>-114600</v>
      </c>
      <c r="V88"/>
    </row>
    <row r="89" spans="5:22">
      <c r="E89" s="7" t="s">
        <v>497</v>
      </c>
      <c r="F89" s="4">
        <v>8800</v>
      </c>
      <c r="G89"/>
      <c r="K89"/>
      <c r="L89"/>
      <c r="M89"/>
      <c r="N89"/>
      <c r="O89"/>
      <c r="P89"/>
      <c r="Q89"/>
      <c r="S89" s="3">
        <v>44677</v>
      </c>
      <c r="T89" s="1" t="s">
        <v>492</v>
      </c>
      <c r="U89" s="4">
        <v>-3100</v>
      </c>
      <c r="V89"/>
    </row>
    <row r="90" spans="5:22">
      <c r="E90" s="7" t="s">
        <v>710</v>
      </c>
      <c r="F90" s="4">
        <v>8200</v>
      </c>
      <c r="G90"/>
      <c r="K90"/>
      <c r="L90"/>
      <c r="M90"/>
      <c r="N90"/>
      <c r="O90"/>
      <c r="P90"/>
      <c r="Q90"/>
      <c r="S90" s="3">
        <v>44677</v>
      </c>
      <c r="T90" s="1" t="s">
        <v>517</v>
      </c>
      <c r="U90" s="4">
        <v>-2100</v>
      </c>
      <c r="V90"/>
    </row>
    <row r="91" spans="5:22">
      <c r="E91" s="7" t="s">
        <v>503</v>
      </c>
      <c r="F91" s="4">
        <v>7800</v>
      </c>
      <c r="G91"/>
      <c r="K91"/>
      <c r="L91"/>
      <c r="M91"/>
      <c r="N91"/>
      <c r="O91"/>
      <c r="P91"/>
      <c r="Q91"/>
      <c r="S91" s="3">
        <v>44677</v>
      </c>
      <c r="T91" s="1" t="s">
        <v>520</v>
      </c>
      <c r="U91" s="4">
        <v>-9200</v>
      </c>
      <c r="V91"/>
    </row>
    <row r="92" spans="5:22">
      <c r="E92" s="7" t="s">
        <v>504</v>
      </c>
      <c r="F92" s="4">
        <v>7600</v>
      </c>
      <c r="G92"/>
      <c r="K92"/>
      <c r="L92"/>
      <c r="M92"/>
      <c r="N92"/>
      <c r="O92"/>
      <c r="P92"/>
      <c r="Q92"/>
      <c r="S92" s="3">
        <v>44677</v>
      </c>
      <c r="T92" s="1" t="s">
        <v>28</v>
      </c>
      <c r="U92" s="4">
        <v>-7700</v>
      </c>
      <c r="V92"/>
    </row>
    <row r="93" spans="5:22">
      <c r="E93" s="7" t="s">
        <v>476</v>
      </c>
      <c r="F93" s="4">
        <v>6200</v>
      </c>
      <c r="G93"/>
      <c r="K93"/>
      <c r="L93"/>
      <c r="M93"/>
      <c r="N93"/>
      <c r="O93"/>
      <c r="P93"/>
      <c r="Q93"/>
      <c r="S93" s="3">
        <v>44677</v>
      </c>
      <c r="T93" s="1" t="s">
        <v>524</v>
      </c>
      <c r="U93" s="4">
        <v>-15600</v>
      </c>
      <c r="V93"/>
    </row>
    <row r="94" spans="5:22">
      <c r="E94" s="7" t="s">
        <v>516</v>
      </c>
      <c r="F94" s="4">
        <v>5600</v>
      </c>
      <c r="G94"/>
      <c r="K94"/>
      <c r="L94"/>
      <c r="M94"/>
      <c r="N94"/>
      <c r="O94"/>
      <c r="P94"/>
      <c r="Q94"/>
      <c r="S94" s="3">
        <v>44677</v>
      </c>
      <c r="T94" s="1" t="s">
        <v>673</v>
      </c>
      <c r="U94" s="4">
        <v>-790800</v>
      </c>
      <c r="V94"/>
    </row>
    <row r="95" spans="5:22">
      <c r="E95" s="7" t="s">
        <v>76</v>
      </c>
      <c r="F95" s="4">
        <v>5100</v>
      </c>
      <c r="G95"/>
      <c r="K95"/>
      <c r="L95"/>
      <c r="M95"/>
      <c r="N95"/>
      <c r="O95"/>
      <c r="P95"/>
      <c r="Q95"/>
      <c r="S95" s="3">
        <v>44676</v>
      </c>
      <c r="T95" s="1" t="s">
        <v>492</v>
      </c>
      <c r="U95" s="4">
        <v>-2600</v>
      </c>
      <c r="V95"/>
    </row>
    <row r="96" spans="5:22">
      <c r="E96" s="7" t="s">
        <v>523</v>
      </c>
      <c r="F96" s="4">
        <v>4800</v>
      </c>
      <c r="G96"/>
      <c r="K96"/>
      <c r="L96"/>
      <c r="M96"/>
      <c r="N96"/>
      <c r="O96"/>
      <c r="P96"/>
      <c r="Q96"/>
      <c r="S96" s="3">
        <v>44676</v>
      </c>
      <c r="T96" s="1" t="s">
        <v>491</v>
      </c>
      <c r="U96" s="4">
        <v>-24900</v>
      </c>
      <c r="V96"/>
    </row>
    <row r="97" spans="5:22">
      <c r="E97" s="7" t="s">
        <v>509</v>
      </c>
      <c r="F97" s="4">
        <v>4000</v>
      </c>
      <c r="G97"/>
      <c r="K97"/>
      <c r="L97"/>
      <c r="M97"/>
      <c r="N97"/>
      <c r="O97"/>
      <c r="P97"/>
      <c r="Q97"/>
      <c r="S97" s="3">
        <v>44676</v>
      </c>
      <c r="T97" s="1" t="s">
        <v>487</v>
      </c>
      <c r="U97" s="4">
        <v>-41600</v>
      </c>
      <c r="V97"/>
    </row>
    <row r="98" spans="5:22">
      <c r="E98" s="7" t="s">
        <v>378</v>
      </c>
      <c r="F98" s="4">
        <v>3500</v>
      </c>
      <c r="G98"/>
      <c r="K98"/>
      <c r="L98"/>
      <c r="M98"/>
      <c r="N98"/>
      <c r="O98"/>
      <c r="P98"/>
      <c r="Q98"/>
      <c r="S98" s="3">
        <v>44676</v>
      </c>
      <c r="T98" s="1" t="s">
        <v>674</v>
      </c>
      <c r="U98" s="4">
        <v>-450000</v>
      </c>
      <c r="V98"/>
    </row>
    <row r="99" spans="5:22">
      <c r="E99" s="7" t="s">
        <v>501</v>
      </c>
      <c r="F99" s="4">
        <v>3400</v>
      </c>
      <c r="G99"/>
      <c r="K99"/>
      <c r="L99"/>
      <c r="M99"/>
      <c r="N99"/>
      <c r="O99"/>
      <c r="P99"/>
      <c r="Q99"/>
      <c r="S99" s="3">
        <v>44676</v>
      </c>
      <c r="T99" s="1" t="s">
        <v>683</v>
      </c>
      <c r="U99" s="4">
        <v>2917500</v>
      </c>
      <c r="V99"/>
    </row>
    <row r="100" spans="5:22">
      <c r="E100" s="7" t="s">
        <v>498</v>
      </c>
      <c r="F100" s="4">
        <v>2700</v>
      </c>
      <c r="G100"/>
      <c r="K100"/>
      <c r="L100"/>
      <c r="M100"/>
      <c r="N100"/>
      <c r="O100"/>
      <c r="P100"/>
      <c r="Q100"/>
      <c r="S100" s="3">
        <v>44676</v>
      </c>
      <c r="T100" s="1" t="s">
        <v>496</v>
      </c>
      <c r="U100" s="4">
        <v>-1900</v>
      </c>
      <c r="V100"/>
    </row>
    <row r="101" spans="5:22">
      <c r="E101" s="7" t="s">
        <v>683</v>
      </c>
      <c r="F101" s="4"/>
      <c r="G101"/>
      <c r="K101"/>
      <c r="L101"/>
      <c r="M101"/>
      <c r="N101"/>
      <c r="O101"/>
      <c r="P101"/>
      <c r="Q101"/>
      <c r="S101" s="3">
        <v>44676</v>
      </c>
      <c r="T101" s="1" t="s">
        <v>48</v>
      </c>
      <c r="U101" s="4">
        <v>-14200</v>
      </c>
      <c r="V101"/>
    </row>
    <row r="102" spans="5:22">
      <c r="E102" s="7" t="s">
        <v>682</v>
      </c>
      <c r="F102" s="4"/>
      <c r="G102"/>
      <c r="K102"/>
      <c r="L102"/>
      <c r="M102"/>
      <c r="N102"/>
      <c r="O102"/>
      <c r="P102"/>
      <c r="Q102"/>
      <c r="S102" s="3">
        <v>44676</v>
      </c>
      <c r="T102" s="1" t="s">
        <v>474</v>
      </c>
      <c r="U102" s="4">
        <v>-5600</v>
      </c>
      <c r="V102"/>
    </row>
    <row r="103" spans="5:22">
      <c r="E103" s="7" t="s">
        <v>694</v>
      </c>
      <c r="F103" s="4"/>
      <c r="G103"/>
      <c r="K103"/>
      <c r="L103"/>
      <c r="M103"/>
      <c r="N103"/>
      <c r="O103"/>
      <c r="P103"/>
      <c r="Q103"/>
      <c r="S103" s="3">
        <v>44675</v>
      </c>
      <c r="T103" s="1" t="s">
        <v>492</v>
      </c>
      <c r="U103" s="4">
        <v>-5600</v>
      </c>
      <c r="V103"/>
    </row>
    <row r="104" spans="5:22">
      <c r="E104"/>
      <c r="F104"/>
      <c r="K104"/>
      <c r="L104"/>
      <c r="M104"/>
      <c r="N104"/>
      <c r="O104"/>
      <c r="P104"/>
      <c r="Q104"/>
      <c r="S104" s="3">
        <v>44675</v>
      </c>
      <c r="T104" s="1" t="s">
        <v>464</v>
      </c>
      <c r="U104" s="4">
        <v>-8300</v>
      </c>
      <c r="V104"/>
    </row>
    <row r="105" spans="5:22">
      <c r="E105"/>
      <c r="K105"/>
      <c r="L105"/>
      <c r="M105"/>
      <c r="N105"/>
      <c r="O105"/>
      <c r="P105"/>
      <c r="Q105"/>
      <c r="S105" s="3">
        <v>44674</v>
      </c>
      <c r="T105" s="1" t="s">
        <v>31</v>
      </c>
      <c r="U105" s="4">
        <v>-2000</v>
      </c>
      <c r="V105"/>
    </row>
    <row r="106" spans="5:22">
      <c r="E106"/>
      <c r="K106"/>
      <c r="L106"/>
      <c r="M106"/>
      <c r="N106"/>
      <c r="O106"/>
      <c r="P106"/>
      <c r="Q106"/>
      <c r="S106" s="3">
        <v>44674</v>
      </c>
      <c r="T106" s="1" t="s">
        <v>493</v>
      </c>
      <c r="U106" s="4">
        <v>-4300</v>
      </c>
      <c r="V106"/>
    </row>
    <row r="107" spans="5:22">
      <c r="E107"/>
      <c r="K107"/>
      <c r="L107"/>
      <c r="M107"/>
      <c r="N107"/>
      <c r="O107"/>
      <c r="P107"/>
      <c r="Q107"/>
      <c r="S107" s="3">
        <v>44673</v>
      </c>
      <c r="T107" s="1" t="s">
        <v>48</v>
      </c>
      <c r="U107" s="4">
        <v>-4900</v>
      </c>
      <c r="V107"/>
    </row>
    <row r="108" spans="5:22">
      <c r="E108"/>
      <c r="K108"/>
      <c r="L108"/>
      <c r="M108"/>
      <c r="N108"/>
      <c r="O108"/>
      <c r="P108"/>
      <c r="Q108"/>
      <c r="S108" s="3">
        <v>44673</v>
      </c>
      <c r="T108" s="1" t="s">
        <v>493</v>
      </c>
      <c r="U108" s="4">
        <v>-3400</v>
      </c>
      <c r="V108"/>
    </row>
    <row r="109" spans="5:22">
      <c r="E109"/>
      <c r="K109"/>
      <c r="L109"/>
      <c r="M109"/>
      <c r="N109"/>
      <c r="O109"/>
      <c r="P109"/>
      <c r="Q109"/>
      <c r="S109" s="3">
        <v>44673</v>
      </c>
      <c r="T109" s="1" t="s">
        <v>472</v>
      </c>
      <c r="U109" s="4">
        <v>-7600</v>
      </c>
      <c r="V109"/>
    </row>
    <row r="110" spans="5:22">
      <c r="E110"/>
      <c r="K110"/>
      <c r="L110"/>
      <c r="M110"/>
      <c r="N110"/>
      <c r="O110"/>
      <c r="P110"/>
      <c r="Q110"/>
      <c r="S110" s="3">
        <v>44672</v>
      </c>
      <c r="T110" s="1" t="s">
        <v>492</v>
      </c>
      <c r="U110" s="4">
        <v>-12500</v>
      </c>
      <c r="V110"/>
    </row>
    <row r="111" spans="5:22">
      <c r="E111"/>
      <c r="K111"/>
      <c r="L111"/>
      <c r="M111"/>
      <c r="N111"/>
      <c r="O111"/>
      <c r="P111"/>
      <c r="Q111"/>
      <c r="S111" s="3">
        <v>44672</v>
      </c>
      <c r="T111" s="1" t="s">
        <v>486</v>
      </c>
      <c r="U111" s="4">
        <v>-16100</v>
      </c>
      <c r="V111"/>
    </row>
    <row r="112" spans="5:22">
      <c r="E112"/>
      <c r="K112"/>
      <c r="L112"/>
      <c r="M112"/>
      <c r="N112"/>
      <c r="O112"/>
      <c r="P112"/>
      <c r="Q112"/>
      <c r="S112" s="3">
        <v>44672</v>
      </c>
      <c r="T112" s="1" t="s">
        <v>459</v>
      </c>
      <c r="U112" s="4">
        <v>-9300</v>
      </c>
      <c r="V112"/>
    </row>
    <row r="113" spans="5:22">
      <c r="E113"/>
      <c r="K113"/>
      <c r="L113"/>
      <c r="M113"/>
      <c r="N113"/>
      <c r="O113"/>
      <c r="P113"/>
      <c r="Q113"/>
      <c r="S113" s="3">
        <v>44672</v>
      </c>
      <c r="T113" s="1" t="s">
        <v>453</v>
      </c>
      <c r="U113" s="4">
        <v>-45500</v>
      </c>
      <c r="V113"/>
    </row>
    <row r="114" spans="5:22">
      <c r="K114"/>
      <c r="L114"/>
      <c r="M114"/>
      <c r="N114"/>
      <c r="O114"/>
      <c r="P114"/>
      <c r="Q114"/>
      <c r="S114" s="3">
        <v>44670</v>
      </c>
      <c r="T114" s="1" t="s">
        <v>127</v>
      </c>
      <c r="U114" s="4">
        <v>-9800</v>
      </c>
      <c r="V114"/>
    </row>
    <row r="115" spans="5:22">
      <c r="K115"/>
      <c r="L115"/>
      <c r="M115"/>
      <c r="N115"/>
      <c r="O115"/>
      <c r="P115"/>
      <c r="Q115"/>
      <c r="S115" s="3">
        <v>44669</v>
      </c>
      <c r="T115" s="1" t="s">
        <v>496</v>
      </c>
      <c r="U115" s="4">
        <v>-4400</v>
      </c>
      <c r="V115"/>
    </row>
    <row r="116" spans="5:22">
      <c r="K116"/>
      <c r="L116"/>
      <c r="M116"/>
      <c r="N116"/>
      <c r="O116"/>
      <c r="P116"/>
      <c r="Q116"/>
      <c r="S116" s="3">
        <v>44669</v>
      </c>
      <c r="T116" s="1" t="s">
        <v>35</v>
      </c>
      <c r="U116" s="4">
        <v>-150000</v>
      </c>
      <c r="V116"/>
    </row>
    <row r="117" spans="5:22">
      <c r="K117"/>
      <c r="L117"/>
      <c r="M117"/>
      <c r="N117"/>
      <c r="O117"/>
      <c r="P117"/>
      <c r="Q117"/>
      <c r="S117" s="3">
        <v>44669</v>
      </c>
      <c r="T117" s="1" t="s">
        <v>493</v>
      </c>
      <c r="U117" s="4">
        <v>-4900</v>
      </c>
      <c r="V117"/>
    </row>
    <row r="118" spans="5:22">
      <c r="K118"/>
      <c r="L118"/>
      <c r="M118"/>
      <c r="N118"/>
      <c r="O118"/>
      <c r="P118"/>
      <c r="Q118"/>
      <c r="S118" s="3">
        <v>44669</v>
      </c>
      <c r="T118" s="1" t="s">
        <v>469</v>
      </c>
      <c r="U118" s="4">
        <v>-21400</v>
      </c>
      <c r="V118"/>
    </row>
    <row r="119" spans="5:22">
      <c r="K119"/>
      <c r="L119"/>
      <c r="M119"/>
      <c r="N119"/>
      <c r="O119"/>
      <c r="P119"/>
      <c r="Q119"/>
      <c r="S119" s="3">
        <v>44668</v>
      </c>
      <c r="T119" s="1" t="s">
        <v>701</v>
      </c>
      <c r="U119" s="4">
        <v>-19400</v>
      </c>
      <c r="V119"/>
    </row>
    <row r="120" spans="5:22">
      <c r="K120"/>
      <c r="L120"/>
      <c r="M120"/>
      <c r="N120"/>
      <c r="O120"/>
      <c r="P120"/>
      <c r="Q120"/>
      <c r="S120" s="3">
        <v>44667</v>
      </c>
      <c r="T120" s="1" t="s">
        <v>514</v>
      </c>
      <c r="U120" s="4">
        <v>-8300</v>
      </c>
      <c r="V120"/>
    </row>
    <row r="121" spans="5:22">
      <c r="K121"/>
      <c r="L121"/>
      <c r="M121"/>
      <c r="N121"/>
      <c r="O121"/>
      <c r="P121"/>
      <c r="Q121"/>
      <c r="S121" s="3">
        <v>44667</v>
      </c>
      <c r="T121" s="1" t="s">
        <v>493</v>
      </c>
      <c r="U121" s="4">
        <v>-4400</v>
      </c>
      <c r="V121"/>
    </row>
    <row r="122" spans="5:22">
      <c r="K122"/>
      <c r="L122"/>
      <c r="M122"/>
      <c r="N122"/>
      <c r="O122"/>
      <c r="P122"/>
      <c r="Q122"/>
      <c r="S122" s="3">
        <v>44666</v>
      </c>
      <c r="T122" s="1" t="s">
        <v>541</v>
      </c>
      <c r="U122" s="4">
        <v>-263600</v>
      </c>
      <c r="V122"/>
    </row>
    <row r="123" spans="5:22">
      <c r="K123"/>
      <c r="L123"/>
      <c r="M123"/>
      <c r="N123"/>
      <c r="O123"/>
      <c r="P123"/>
      <c r="Q123"/>
      <c r="S123" s="3">
        <v>44666</v>
      </c>
      <c r="T123" s="1" t="s">
        <v>492</v>
      </c>
      <c r="U123" s="4">
        <v>-10500</v>
      </c>
      <c r="V123"/>
    </row>
    <row r="124" spans="5:22">
      <c r="K124"/>
      <c r="L124"/>
      <c r="M124"/>
      <c r="N124"/>
      <c r="O124"/>
      <c r="P124"/>
      <c r="Q124"/>
      <c r="S124" s="3">
        <v>44666</v>
      </c>
      <c r="T124" s="1" t="s">
        <v>452</v>
      </c>
      <c r="U124" s="4">
        <v>-41000</v>
      </c>
      <c r="V124"/>
    </row>
    <row r="125" spans="5:22">
      <c r="K125"/>
      <c r="L125"/>
      <c r="M125"/>
      <c r="N125"/>
      <c r="O125"/>
      <c r="P125"/>
      <c r="Q125"/>
      <c r="S125" s="3">
        <v>44666</v>
      </c>
      <c r="T125" s="1" t="s">
        <v>13</v>
      </c>
      <c r="U125" s="4">
        <v>-12600</v>
      </c>
      <c r="V125"/>
    </row>
    <row r="126" spans="5:22">
      <c r="K126"/>
      <c r="L126"/>
      <c r="M126"/>
      <c r="N126"/>
      <c r="O126"/>
      <c r="P126"/>
      <c r="Q126"/>
      <c r="S126" s="3">
        <v>44664</v>
      </c>
      <c r="T126" s="1" t="s">
        <v>492</v>
      </c>
      <c r="U126" s="4">
        <v>-6800</v>
      </c>
      <c r="V126"/>
    </row>
    <row r="127" spans="5:22">
      <c r="K127"/>
      <c r="L127"/>
      <c r="M127"/>
      <c r="N127"/>
      <c r="O127"/>
      <c r="P127"/>
      <c r="Q127"/>
      <c r="S127" s="3">
        <v>44664</v>
      </c>
      <c r="T127" s="1" t="s">
        <v>493</v>
      </c>
      <c r="U127" s="4">
        <v>-4100</v>
      </c>
      <c r="V127"/>
    </row>
    <row r="128" spans="5:22">
      <c r="K128"/>
      <c r="L128"/>
      <c r="M128"/>
      <c r="N128"/>
      <c r="O128"/>
      <c r="P128"/>
      <c r="Q128"/>
      <c r="S128" s="3">
        <v>44663</v>
      </c>
      <c r="T128" s="1" t="s">
        <v>710</v>
      </c>
      <c r="U128" s="4">
        <v>-8200</v>
      </c>
      <c r="V128"/>
    </row>
    <row r="129" spans="11:22">
      <c r="K129"/>
      <c r="L129"/>
      <c r="M129"/>
      <c r="N129"/>
      <c r="O129"/>
      <c r="P129"/>
      <c r="Q129"/>
      <c r="S129" s="3">
        <v>44663</v>
      </c>
      <c r="T129" s="1" t="s">
        <v>493</v>
      </c>
      <c r="U129" s="4">
        <v>-4700</v>
      </c>
      <c r="V129"/>
    </row>
    <row r="130" spans="11:22">
      <c r="K130"/>
      <c r="L130"/>
      <c r="M130"/>
      <c r="N130"/>
      <c r="O130"/>
      <c r="P130"/>
      <c r="Q130"/>
      <c r="S130" s="3">
        <v>44662</v>
      </c>
      <c r="T130" s="1" t="s">
        <v>13</v>
      </c>
      <c r="U130" s="4">
        <v>-4600</v>
      </c>
      <c r="V130"/>
    </row>
    <row r="131" spans="11:22">
      <c r="K131"/>
      <c r="L131"/>
      <c r="M131"/>
      <c r="N131"/>
      <c r="O131"/>
      <c r="P131"/>
      <c r="Q131"/>
      <c r="S131" s="3">
        <v>44662</v>
      </c>
      <c r="T131" s="1" t="s">
        <v>493</v>
      </c>
      <c r="U131" s="4">
        <v>-7100</v>
      </c>
      <c r="V131"/>
    </row>
    <row r="132" spans="11:22">
      <c r="K132"/>
      <c r="L132"/>
      <c r="M132"/>
      <c r="N132"/>
      <c r="O132"/>
      <c r="P132"/>
      <c r="Q132"/>
      <c r="S132" s="3">
        <v>44661</v>
      </c>
      <c r="T132" s="1" t="s">
        <v>517</v>
      </c>
      <c r="U132" s="4">
        <v>-73500</v>
      </c>
      <c r="V132"/>
    </row>
    <row r="133" spans="11:22">
      <c r="K133"/>
      <c r="L133"/>
      <c r="M133"/>
      <c r="N133"/>
      <c r="O133"/>
      <c r="P133"/>
      <c r="Q133"/>
      <c r="S133" s="3">
        <v>44661</v>
      </c>
      <c r="T133" s="1" t="s">
        <v>521</v>
      </c>
      <c r="U133" s="4">
        <v>-47900</v>
      </c>
      <c r="V133"/>
    </row>
    <row r="134" spans="11:22">
      <c r="K134"/>
      <c r="L134"/>
      <c r="M134"/>
      <c r="N134"/>
      <c r="O134"/>
      <c r="P134"/>
      <c r="Q134"/>
      <c r="S134" s="3">
        <v>44661</v>
      </c>
      <c r="T134" s="1" t="s">
        <v>31</v>
      </c>
      <c r="U134" s="4">
        <v>-2200</v>
      </c>
      <c r="V134"/>
    </row>
    <row r="135" spans="11:22">
      <c r="K135"/>
      <c r="L135"/>
      <c r="M135"/>
      <c r="N135"/>
      <c r="O135"/>
      <c r="P135"/>
      <c r="Q135"/>
      <c r="S135" s="3">
        <v>44661</v>
      </c>
      <c r="T135" s="1" t="s">
        <v>468</v>
      </c>
      <c r="U135" s="4">
        <v>-5300</v>
      </c>
      <c r="V135"/>
    </row>
    <row r="136" spans="11:22">
      <c r="K136"/>
      <c r="L136"/>
      <c r="M136"/>
      <c r="N136"/>
      <c r="O136"/>
      <c r="P136"/>
      <c r="Q136"/>
      <c r="S136" s="3">
        <v>44660</v>
      </c>
      <c r="T136" s="1" t="s">
        <v>13</v>
      </c>
      <c r="U136" s="4">
        <v>-18400</v>
      </c>
      <c r="V136"/>
    </row>
    <row r="137" spans="11:22">
      <c r="K137"/>
      <c r="L137"/>
      <c r="M137"/>
      <c r="N137"/>
      <c r="O137"/>
      <c r="P137"/>
      <c r="Q137"/>
      <c r="S137" s="3">
        <v>44660</v>
      </c>
      <c r="T137" s="1" t="s">
        <v>493</v>
      </c>
      <c r="U137" s="4">
        <v>-4100</v>
      </c>
      <c r="V137"/>
    </row>
    <row r="138" spans="11:22">
      <c r="K138"/>
      <c r="L138"/>
      <c r="M138"/>
      <c r="N138"/>
      <c r="O138"/>
      <c r="P138"/>
      <c r="Q138"/>
      <c r="S138" s="3">
        <v>44659</v>
      </c>
      <c r="T138" s="1" t="s">
        <v>481</v>
      </c>
      <c r="U138" s="4">
        <v>-230000</v>
      </c>
      <c r="V138"/>
    </row>
    <row r="139" spans="11:22">
      <c r="K139"/>
      <c r="L139"/>
      <c r="M139"/>
      <c r="N139"/>
      <c r="O139"/>
      <c r="P139"/>
      <c r="Q139"/>
      <c r="S139" s="3">
        <v>44659</v>
      </c>
      <c r="T139" s="1" t="s">
        <v>31</v>
      </c>
      <c r="U139" s="4">
        <v>-10300</v>
      </c>
      <c r="V139"/>
    </row>
    <row r="140" spans="11:22">
      <c r="K140"/>
      <c r="L140"/>
      <c r="M140"/>
      <c r="N140"/>
      <c r="O140"/>
      <c r="P140"/>
      <c r="Q140"/>
      <c r="S140" s="3">
        <v>44659</v>
      </c>
      <c r="T140" s="1" t="s">
        <v>13</v>
      </c>
      <c r="U140" s="4">
        <v>-6400</v>
      </c>
      <c r="V140"/>
    </row>
    <row r="141" spans="11:22">
      <c r="O141"/>
      <c r="P141"/>
      <c r="Q141"/>
      <c r="S141" s="3">
        <v>44659</v>
      </c>
      <c r="T141" s="1" t="s">
        <v>493</v>
      </c>
      <c r="U141" s="4">
        <v>-4100</v>
      </c>
      <c r="V141"/>
    </row>
    <row r="142" spans="11:22">
      <c r="O142"/>
      <c r="P142"/>
      <c r="Q142"/>
      <c r="S142" s="3">
        <v>44658</v>
      </c>
      <c r="T142" s="1" t="s">
        <v>466</v>
      </c>
      <c r="U142" s="4">
        <v>-13000</v>
      </c>
      <c r="V142"/>
    </row>
    <row r="143" spans="11:22">
      <c r="O143"/>
      <c r="P143"/>
      <c r="Q143"/>
      <c r="S143" s="3">
        <v>44658</v>
      </c>
      <c r="T143" s="1" t="s">
        <v>493</v>
      </c>
      <c r="U143" s="4">
        <v>-4700</v>
      </c>
      <c r="V143"/>
    </row>
    <row r="144" spans="11:22">
      <c r="O144"/>
      <c r="P144"/>
      <c r="Q144"/>
      <c r="S144" s="3">
        <v>44657</v>
      </c>
      <c r="T144" s="1" t="s">
        <v>492</v>
      </c>
      <c r="U144" s="4">
        <v>-9100</v>
      </c>
      <c r="V144"/>
    </row>
    <row r="145" spans="15:22">
      <c r="O145"/>
      <c r="P145"/>
      <c r="Q145"/>
      <c r="S145" s="3">
        <v>44656</v>
      </c>
      <c r="T145" s="1" t="s">
        <v>458</v>
      </c>
      <c r="U145" s="4">
        <v>-5700</v>
      </c>
      <c r="V145"/>
    </row>
    <row r="146" spans="15:22">
      <c r="O146"/>
      <c r="P146"/>
      <c r="Q146"/>
      <c r="S146" s="3">
        <v>44655</v>
      </c>
      <c r="T146" s="1" t="s">
        <v>448</v>
      </c>
      <c r="U146" s="4">
        <v>-6400</v>
      </c>
      <c r="V146"/>
    </row>
    <row r="147" spans="15:22">
      <c r="P147"/>
      <c r="Q147"/>
      <c r="S147" s="3">
        <v>44655</v>
      </c>
      <c r="T147" s="1" t="s">
        <v>682</v>
      </c>
      <c r="U147" s="4">
        <v>366860</v>
      </c>
      <c r="V147"/>
    </row>
    <row r="148" spans="15:22">
      <c r="P148"/>
      <c r="Q148"/>
      <c r="S148" s="3">
        <v>44654</v>
      </c>
      <c r="T148" s="1" t="s">
        <v>492</v>
      </c>
      <c r="U148" s="4">
        <v>-3100</v>
      </c>
      <c r="V148"/>
    </row>
    <row r="149" spans="15:22">
      <c r="P149"/>
      <c r="Q149"/>
      <c r="S149" s="3">
        <v>44654</v>
      </c>
      <c r="T149" s="1" t="s">
        <v>451</v>
      </c>
      <c r="U149" s="4">
        <v>-1200</v>
      </c>
      <c r="V149"/>
    </row>
    <row r="150" spans="15:22">
      <c r="P150"/>
      <c r="Q150"/>
      <c r="S150" s="3">
        <v>44654</v>
      </c>
      <c r="T150" s="1" t="s">
        <v>31</v>
      </c>
      <c r="U150" s="4">
        <v>-4600</v>
      </c>
      <c r="V150"/>
    </row>
    <row r="151" spans="15:22">
      <c r="P151"/>
      <c r="Q151"/>
      <c r="S151" s="3">
        <v>44654</v>
      </c>
      <c r="T151" s="1" t="s">
        <v>496</v>
      </c>
      <c r="U151" s="4">
        <v>-2400</v>
      </c>
      <c r="V151"/>
    </row>
    <row r="152" spans="15:22">
      <c r="P152"/>
      <c r="Q152"/>
      <c r="S152" s="3">
        <v>44654</v>
      </c>
      <c r="T152" s="1" t="s">
        <v>474</v>
      </c>
      <c r="U152" s="4">
        <v>-3900</v>
      </c>
      <c r="V152"/>
    </row>
    <row r="153" spans="15:22">
      <c r="P153"/>
      <c r="Q153"/>
      <c r="S153" s="3">
        <v>44653</v>
      </c>
      <c r="T153" s="1" t="s">
        <v>493</v>
      </c>
      <c r="U153" s="4">
        <v>-5500</v>
      </c>
      <c r="V153"/>
    </row>
    <row r="154" spans="15:22">
      <c r="P154"/>
      <c r="Q154"/>
      <c r="S154" s="3">
        <v>44652</v>
      </c>
      <c r="T154" s="1" t="s">
        <v>451</v>
      </c>
      <c r="U154" s="4">
        <v>-11900</v>
      </c>
      <c r="V154"/>
    </row>
    <row r="155" spans="15:22">
      <c r="P155"/>
      <c r="Q155"/>
      <c r="S155" s="3">
        <v>44652</v>
      </c>
      <c r="T155" s="1" t="s">
        <v>504</v>
      </c>
      <c r="U155" s="4">
        <v>-7600</v>
      </c>
      <c r="V155"/>
    </row>
    <row r="156" spans="15:22">
      <c r="P156"/>
      <c r="Q156"/>
      <c r="S156" s="3">
        <v>44652</v>
      </c>
      <c r="T156" s="1" t="s">
        <v>450</v>
      </c>
      <c r="U156" s="4">
        <v>-38900</v>
      </c>
      <c r="V156"/>
    </row>
    <row r="157" spans="15:22">
      <c r="P157"/>
      <c r="Q157"/>
      <c r="S157" s="3">
        <v>44652</v>
      </c>
      <c r="T157" s="1" t="s">
        <v>48</v>
      </c>
      <c r="U157" s="4">
        <v>-11200</v>
      </c>
      <c r="V157"/>
    </row>
    <row r="158" spans="15:22">
      <c r="P158"/>
      <c r="Q158"/>
      <c r="S158" s="3">
        <v>44651</v>
      </c>
      <c r="T158" s="1" t="s">
        <v>492</v>
      </c>
      <c r="U158" s="4">
        <v>-9800</v>
      </c>
      <c r="V158"/>
    </row>
    <row r="159" spans="15:22">
      <c r="P159"/>
      <c r="Q159"/>
      <c r="S159" s="3">
        <v>44651</v>
      </c>
      <c r="T159" s="1" t="s">
        <v>490</v>
      </c>
      <c r="U159" s="4">
        <v>-18000</v>
      </c>
      <c r="V159"/>
    </row>
    <row r="160" spans="15:22">
      <c r="P160"/>
      <c r="Q160"/>
      <c r="S160" s="3">
        <v>44651</v>
      </c>
      <c r="T160" s="1" t="s">
        <v>456</v>
      </c>
      <c r="U160" s="4">
        <v>-3100</v>
      </c>
      <c r="V160"/>
    </row>
    <row r="161" spans="16:22">
      <c r="P161"/>
      <c r="Q161"/>
      <c r="S161" s="3">
        <v>44650</v>
      </c>
      <c r="T161" s="1" t="s">
        <v>492</v>
      </c>
      <c r="U161" s="4">
        <v>-6600</v>
      </c>
      <c r="V161"/>
    </row>
    <row r="162" spans="16:22">
      <c r="P162"/>
      <c r="Q162"/>
      <c r="S162" s="3">
        <v>44650</v>
      </c>
      <c r="T162" s="1" t="s">
        <v>448</v>
      </c>
      <c r="U162" s="4">
        <v>-5300</v>
      </c>
      <c r="V162"/>
    </row>
    <row r="163" spans="16:22">
      <c r="P163"/>
      <c r="Q163"/>
      <c r="S163" s="3">
        <v>44650</v>
      </c>
      <c r="T163" s="1" t="s">
        <v>493</v>
      </c>
      <c r="U163" s="4">
        <v>-13400</v>
      </c>
      <c r="V163"/>
    </row>
    <row r="164" spans="16:22">
      <c r="P164"/>
      <c r="Q164"/>
      <c r="S164" s="3">
        <v>44649</v>
      </c>
      <c r="T164" s="1" t="s">
        <v>493</v>
      </c>
      <c r="U164" s="4">
        <v>-4000</v>
      </c>
      <c r="V164"/>
    </row>
    <row r="165" spans="16:22">
      <c r="P165"/>
      <c r="Q165"/>
      <c r="S165" s="3">
        <v>44648</v>
      </c>
      <c r="T165" s="1" t="s">
        <v>517</v>
      </c>
      <c r="U165" s="4">
        <v>-1800</v>
      </c>
      <c r="V165"/>
    </row>
    <row r="166" spans="16:22">
      <c r="P166"/>
      <c r="Q166"/>
      <c r="S166" s="3">
        <v>44648</v>
      </c>
      <c r="T166" s="1" t="s">
        <v>463</v>
      </c>
      <c r="U166" s="4">
        <v>-10500</v>
      </c>
      <c r="V166"/>
    </row>
    <row r="167" spans="16:22">
      <c r="P167"/>
      <c r="Q167"/>
      <c r="S167" s="3">
        <v>44648</v>
      </c>
      <c r="T167" s="1" t="s">
        <v>496</v>
      </c>
      <c r="U167" s="4">
        <v>-1400</v>
      </c>
      <c r="V167"/>
    </row>
    <row r="168" spans="16:22">
      <c r="P168"/>
      <c r="Q168"/>
      <c r="S168" s="3">
        <v>44648</v>
      </c>
      <c r="T168" s="1" t="s">
        <v>493</v>
      </c>
      <c r="U168" s="4">
        <v>-4500</v>
      </c>
      <c r="V168"/>
    </row>
    <row r="169" spans="16:22">
      <c r="P169"/>
      <c r="Q169"/>
      <c r="S169" s="3">
        <v>44647</v>
      </c>
      <c r="T169" s="1" t="s">
        <v>492</v>
      </c>
      <c r="U169" s="4">
        <v>-6200</v>
      </c>
      <c r="V169"/>
    </row>
    <row r="170" spans="16:22">
      <c r="P170"/>
      <c r="Q170"/>
      <c r="S170" s="3">
        <v>44646</v>
      </c>
      <c r="T170" s="1" t="s">
        <v>492</v>
      </c>
      <c r="U170" s="4">
        <v>-1900</v>
      </c>
      <c r="V170"/>
    </row>
    <row r="171" spans="16:22">
      <c r="P171"/>
      <c r="Q171"/>
      <c r="S171" s="3">
        <v>44646</v>
      </c>
      <c r="T171" s="1" t="s">
        <v>452</v>
      </c>
      <c r="U171" s="4">
        <v>-21600</v>
      </c>
      <c r="V171"/>
    </row>
    <row r="172" spans="16:22">
      <c r="P172"/>
      <c r="Q172"/>
      <c r="S172" s="3">
        <v>44646</v>
      </c>
      <c r="T172" s="1" t="s">
        <v>456</v>
      </c>
      <c r="U172" s="4">
        <v>-4500</v>
      </c>
      <c r="V172"/>
    </row>
    <row r="173" spans="16:22">
      <c r="P173"/>
      <c r="Q173"/>
      <c r="S173" s="3">
        <v>44645</v>
      </c>
      <c r="T173" s="1" t="s">
        <v>492</v>
      </c>
      <c r="U173" s="4">
        <v>-6700</v>
      </c>
      <c r="V173"/>
    </row>
    <row r="174" spans="16:22">
      <c r="P174"/>
      <c r="Q174"/>
      <c r="S174" s="3">
        <v>44645</v>
      </c>
      <c r="T174" s="1" t="s">
        <v>491</v>
      </c>
      <c r="U174" s="4">
        <v>-26400</v>
      </c>
      <c r="V174"/>
    </row>
    <row r="175" spans="16:22">
      <c r="P175"/>
      <c r="Q175"/>
      <c r="S175" s="3">
        <v>44645</v>
      </c>
      <c r="T175" s="1" t="s">
        <v>487</v>
      </c>
      <c r="U175" s="4">
        <v>-42100</v>
      </c>
      <c r="V175"/>
    </row>
    <row r="176" spans="16:22">
      <c r="P176"/>
      <c r="Q176"/>
      <c r="S176" s="3">
        <v>44645</v>
      </c>
      <c r="T176" s="1" t="s">
        <v>674</v>
      </c>
      <c r="U176" s="4">
        <v>-450000</v>
      </c>
      <c r="V176"/>
    </row>
    <row r="177" spans="16:22">
      <c r="P177"/>
      <c r="Q177"/>
      <c r="S177" s="3">
        <v>44645</v>
      </c>
      <c r="T177" s="1" t="s">
        <v>683</v>
      </c>
      <c r="U177" s="4">
        <v>2825000</v>
      </c>
      <c r="V177"/>
    </row>
    <row r="178" spans="16:22">
      <c r="P178"/>
      <c r="Q178"/>
      <c r="S178" s="3">
        <v>44645</v>
      </c>
      <c r="T178" s="1" t="s">
        <v>496</v>
      </c>
      <c r="U178" s="4">
        <v>-5300</v>
      </c>
      <c r="V178"/>
    </row>
    <row r="179" spans="16:22">
      <c r="P179"/>
      <c r="Q179"/>
      <c r="S179" s="3">
        <v>44645</v>
      </c>
      <c r="T179" s="1" t="s">
        <v>524</v>
      </c>
      <c r="U179" s="4">
        <v>-117000</v>
      </c>
      <c r="V179"/>
    </row>
    <row r="180" spans="16:22">
      <c r="P180"/>
      <c r="Q180"/>
      <c r="S180" s="3">
        <v>44645</v>
      </c>
      <c r="T180" s="1" t="s">
        <v>673</v>
      </c>
      <c r="U180" s="4">
        <v>-805200</v>
      </c>
      <c r="V180"/>
    </row>
    <row r="181" spans="16:22">
      <c r="P181"/>
      <c r="Q181"/>
      <c r="S181" s="3">
        <v>44643</v>
      </c>
      <c r="T181" s="1" t="s">
        <v>704</v>
      </c>
      <c r="U181" s="4">
        <v>-17000</v>
      </c>
      <c r="V181"/>
    </row>
    <row r="182" spans="16:22">
      <c r="P182"/>
      <c r="Q182"/>
      <c r="S182" s="3">
        <v>44643</v>
      </c>
      <c r="T182" s="1" t="s">
        <v>679</v>
      </c>
      <c r="U182" s="4">
        <v>-8800</v>
      </c>
      <c r="V182"/>
    </row>
    <row r="183" spans="16:22">
      <c r="P183"/>
      <c r="Q183"/>
      <c r="S183" s="3">
        <v>44643</v>
      </c>
      <c r="T183" s="1" t="s">
        <v>31</v>
      </c>
      <c r="U183" s="4">
        <v>-1700</v>
      </c>
      <c r="V183"/>
    </row>
    <row r="184" spans="16:22">
      <c r="P184"/>
      <c r="Q184"/>
      <c r="S184" s="3">
        <v>44643</v>
      </c>
      <c r="T184" s="1" t="s">
        <v>452</v>
      </c>
      <c r="U184" s="4">
        <v>-10500</v>
      </c>
      <c r="V184"/>
    </row>
    <row r="185" spans="16:22">
      <c r="P185"/>
      <c r="Q185"/>
      <c r="S185" s="3">
        <v>44643</v>
      </c>
      <c r="T185" s="1" t="s">
        <v>456</v>
      </c>
      <c r="U185" s="4">
        <v>-17600</v>
      </c>
      <c r="V185"/>
    </row>
    <row r="186" spans="16:22">
      <c r="P186"/>
      <c r="Q186"/>
      <c r="S186" s="3">
        <v>44641</v>
      </c>
      <c r="T186" s="1" t="s">
        <v>492</v>
      </c>
      <c r="U186" s="4">
        <v>-7200</v>
      </c>
      <c r="V186"/>
    </row>
    <row r="187" spans="16:22">
      <c r="P187"/>
      <c r="Q187"/>
      <c r="S187" s="3">
        <v>44641</v>
      </c>
      <c r="T187" s="1" t="s">
        <v>486</v>
      </c>
      <c r="U187" s="4">
        <v>-16200</v>
      </c>
      <c r="V187"/>
    </row>
    <row r="188" spans="16:22">
      <c r="P188"/>
      <c r="Q188"/>
      <c r="S188" s="3">
        <v>44641</v>
      </c>
      <c r="T188" s="1" t="s">
        <v>459</v>
      </c>
      <c r="U188" s="4">
        <v>-4100</v>
      </c>
      <c r="V188"/>
    </row>
    <row r="189" spans="16:22">
      <c r="P189"/>
      <c r="Q189"/>
      <c r="S189" s="3">
        <v>44641</v>
      </c>
      <c r="T189" s="1" t="s">
        <v>453</v>
      </c>
      <c r="U189" s="4">
        <v>-40200</v>
      </c>
      <c r="V189"/>
    </row>
    <row r="190" spans="16:22">
      <c r="P190"/>
      <c r="Q190"/>
      <c r="S190" s="3">
        <v>44641</v>
      </c>
      <c r="T190" s="1" t="s">
        <v>48</v>
      </c>
      <c r="U190" s="4">
        <v>-5200</v>
      </c>
      <c r="V190"/>
    </row>
    <row r="191" spans="16:22">
      <c r="P191"/>
      <c r="Q191"/>
      <c r="S191" s="3">
        <v>44640</v>
      </c>
      <c r="T191" s="1" t="s">
        <v>492</v>
      </c>
      <c r="U191" s="4">
        <v>-5300</v>
      </c>
      <c r="V191"/>
    </row>
    <row r="192" spans="16:22">
      <c r="P192"/>
      <c r="Q192"/>
      <c r="S192" s="3">
        <v>44639</v>
      </c>
      <c r="T192" s="1" t="s">
        <v>478</v>
      </c>
      <c r="U192" s="4">
        <v>-6200</v>
      </c>
      <c r="V192"/>
    </row>
    <row r="193" spans="16:22">
      <c r="P193"/>
      <c r="Q193"/>
      <c r="S193" s="3">
        <v>44639</v>
      </c>
      <c r="T193" s="1" t="s">
        <v>493</v>
      </c>
      <c r="U193" s="4">
        <v>-4100</v>
      </c>
      <c r="V193"/>
    </row>
    <row r="194" spans="16:22">
      <c r="P194"/>
      <c r="Q194"/>
      <c r="S194" s="3">
        <v>44638</v>
      </c>
      <c r="T194" s="1" t="s">
        <v>697</v>
      </c>
      <c r="U194" s="4">
        <v>-21800</v>
      </c>
      <c r="V194"/>
    </row>
    <row r="195" spans="16:22">
      <c r="P195"/>
      <c r="Q195"/>
      <c r="S195" s="3">
        <v>44637</v>
      </c>
      <c r="T195" s="1" t="s">
        <v>492</v>
      </c>
      <c r="U195" s="4">
        <v>-6300</v>
      </c>
      <c r="V195"/>
    </row>
    <row r="196" spans="16:22">
      <c r="P196"/>
      <c r="Q196"/>
      <c r="S196" s="3">
        <v>44637</v>
      </c>
      <c r="T196" s="1" t="s">
        <v>503</v>
      </c>
      <c r="U196" s="4">
        <v>-7800</v>
      </c>
      <c r="V196"/>
    </row>
    <row r="197" spans="16:22">
      <c r="P197"/>
      <c r="Q197"/>
      <c r="S197" s="3">
        <v>44637</v>
      </c>
      <c r="T197" s="1" t="s">
        <v>471</v>
      </c>
      <c r="U197" s="4">
        <v>-14000</v>
      </c>
      <c r="V197"/>
    </row>
    <row r="198" spans="16:22">
      <c r="P198"/>
      <c r="Q198"/>
      <c r="S198" s="3">
        <v>44637</v>
      </c>
      <c r="T198" s="1" t="s">
        <v>48</v>
      </c>
      <c r="U198" s="4">
        <v>-9600</v>
      </c>
      <c r="V198"/>
    </row>
    <row r="199" spans="16:22">
      <c r="P199"/>
      <c r="Q199"/>
      <c r="S199" s="3">
        <v>44636</v>
      </c>
      <c r="T199" s="1" t="s">
        <v>451</v>
      </c>
      <c r="U199" s="4">
        <v>-11100</v>
      </c>
      <c r="V199"/>
    </row>
    <row r="200" spans="16:22">
      <c r="P200"/>
      <c r="Q200"/>
      <c r="S200" s="3">
        <v>44636</v>
      </c>
      <c r="T200" s="1" t="s">
        <v>471</v>
      </c>
      <c r="U200" s="4">
        <v>-14600</v>
      </c>
      <c r="V200"/>
    </row>
    <row r="201" spans="16:22">
      <c r="P201"/>
      <c r="Q201"/>
      <c r="S201" s="3">
        <v>44636</v>
      </c>
      <c r="T201" s="1" t="s">
        <v>463</v>
      </c>
      <c r="U201" s="4">
        <v>-4400</v>
      </c>
      <c r="V201"/>
    </row>
    <row r="202" spans="16:22">
      <c r="P202"/>
      <c r="Q202"/>
      <c r="S202" s="3">
        <v>44636</v>
      </c>
      <c r="T202" s="1" t="s">
        <v>493</v>
      </c>
      <c r="U202" s="4">
        <v>-4800</v>
      </c>
      <c r="V202"/>
    </row>
    <row r="203" spans="16:22">
      <c r="P203"/>
      <c r="Q203"/>
      <c r="S203" s="3">
        <v>44636</v>
      </c>
      <c r="T203" s="1" t="s">
        <v>472</v>
      </c>
      <c r="U203" s="4">
        <v>-7000</v>
      </c>
      <c r="V203"/>
    </row>
    <row r="204" spans="16:22">
      <c r="P204"/>
      <c r="Q204"/>
      <c r="S204" s="3">
        <v>44635</v>
      </c>
      <c r="T204" s="1" t="s">
        <v>492</v>
      </c>
      <c r="U204" s="4">
        <v>-1800</v>
      </c>
      <c r="V204"/>
    </row>
    <row r="205" spans="16:22">
      <c r="P205"/>
      <c r="Q205"/>
      <c r="S205" s="3">
        <v>44635</v>
      </c>
      <c r="T205" s="1" t="s">
        <v>470</v>
      </c>
      <c r="U205" s="4">
        <v>-205600</v>
      </c>
      <c r="V205"/>
    </row>
    <row r="206" spans="16:22">
      <c r="P206"/>
      <c r="Q206"/>
      <c r="S206" s="3">
        <v>44635</v>
      </c>
      <c r="T206" s="1" t="s">
        <v>452</v>
      </c>
      <c r="U206" s="4">
        <v>-53900</v>
      </c>
      <c r="V206"/>
    </row>
    <row r="207" spans="16:22">
      <c r="P207"/>
      <c r="Q207"/>
      <c r="S207" s="3">
        <v>44635</v>
      </c>
      <c r="T207" s="1" t="s">
        <v>493</v>
      </c>
      <c r="U207" s="4">
        <v>-4700</v>
      </c>
      <c r="V207"/>
    </row>
    <row r="208" spans="16:22">
      <c r="P208"/>
      <c r="Q208"/>
      <c r="S208" s="3">
        <v>44634</v>
      </c>
      <c r="T208" s="1" t="s">
        <v>35</v>
      </c>
      <c r="U208" s="4">
        <v>-169500</v>
      </c>
      <c r="V208"/>
    </row>
    <row r="209" spans="16:22">
      <c r="P209"/>
      <c r="Q209"/>
      <c r="S209" s="3">
        <v>44634</v>
      </c>
      <c r="T209" s="1" t="s">
        <v>493</v>
      </c>
      <c r="U209" s="4">
        <v>-3900</v>
      </c>
      <c r="V209"/>
    </row>
    <row r="210" spans="16:22">
      <c r="P210"/>
      <c r="Q210"/>
      <c r="S210" s="3">
        <v>44632</v>
      </c>
      <c r="T210" s="1" t="s">
        <v>705</v>
      </c>
      <c r="U210" s="4">
        <v>-16800</v>
      </c>
      <c r="V210"/>
    </row>
    <row r="211" spans="16:22">
      <c r="P211"/>
      <c r="Q211"/>
      <c r="S211" s="3">
        <v>44632</v>
      </c>
      <c r="T211" s="1" t="s">
        <v>13</v>
      </c>
      <c r="U211" s="4">
        <v>-33300</v>
      </c>
      <c r="V211"/>
    </row>
    <row r="212" spans="16:22">
      <c r="P212"/>
      <c r="Q212"/>
      <c r="S212" s="3">
        <v>44632</v>
      </c>
      <c r="T212" s="1" t="s">
        <v>493</v>
      </c>
      <c r="U212" s="4">
        <v>-5400</v>
      </c>
      <c r="V212"/>
    </row>
    <row r="213" spans="16:22">
      <c r="P213"/>
      <c r="Q213"/>
      <c r="S213" s="3">
        <v>44631</v>
      </c>
      <c r="T213" s="1" t="s">
        <v>492</v>
      </c>
      <c r="U213" s="4">
        <v>-6500</v>
      </c>
      <c r="V213"/>
    </row>
    <row r="214" spans="16:22">
      <c r="P214"/>
      <c r="Q214"/>
      <c r="S214" s="3">
        <v>44631</v>
      </c>
      <c r="T214" s="1" t="s">
        <v>476</v>
      </c>
      <c r="U214" s="4">
        <v>-1100</v>
      </c>
      <c r="V214"/>
    </row>
    <row r="215" spans="16:22">
      <c r="P215"/>
      <c r="Q215"/>
      <c r="S215" s="3">
        <v>44631</v>
      </c>
      <c r="T215" s="1" t="s">
        <v>450</v>
      </c>
      <c r="U215" s="4">
        <v>-90100</v>
      </c>
      <c r="V215"/>
    </row>
    <row r="216" spans="16:22">
      <c r="P216"/>
      <c r="Q216"/>
      <c r="S216" s="3">
        <v>44631</v>
      </c>
      <c r="T216" s="1" t="s">
        <v>513</v>
      </c>
      <c r="U216" s="4">
        <v>-16000</v>
      </c>
      <c r="V216"/>
    </row>
    <row r="217" spans="16:22">
      <c r="P217"/>
      <c r="Q217"/>
      <c r="S217" s="3">
        <v>44630</v>
      </c>
      <c r="T217" s="1" t="s">
        <v>31</v>
      </c>
      <c r="U217" s="4">
        <v>-1900</v>
      </c>
      <c r="V217"/>
    </row>
    <row r="218" spans="16:22">
      <c r="P218"/>
      <c r="Q218"/>
      <c r="S218" s="3">
        <v>44630</v>
      </c>
      <c r="T218" s="1" t="s">
        <v>496</v>
      </c>
      <c r="U218" s="4">
        <v>-2300</v>
      </c>
      <c r="V218"/>
    </row>
    <row r="219" spans="16:22">
      <c r="P219"/>
      <c r="Q219"/>
      <c r="S219" s="3">
        <v>44630</v>
      </c>
      <c r="T219" s="1" t="s">
        <v>456</v>
      </c>
      <c r="U219" s="4">
        <v>-4600</v>
      </c>
      <c r="V219"/>
    </row>
    <row r="220" spans="16:22">
      <c r="P220"/>
      <c r="Q220"/>
      <c r="S220" s="3">
        <v>44630</v>
      </c>
      <c r="T220" s="1" t="s">
        <v>493</v>
      </c>
      <c r="U220" s="4">
        <v>-5200</v>
      </c>
      <c r="V220"/>
    </row>
    <row r="221" spans="16:22">
      <c r="P221"/>
      <c r="Q221"/>
      <c r="S221" s="3">
        <v>44629</v>
      </c>
      <c r="T221" s="1" t="s">
        <v>474</v>
      </c>
      <c r="U221" s="4">
        <v>-2100</v>
      </c>
      <c r="V221"/>
    </row>
    <row r="222" spans="16:22">
      <c r="P222"/>
      <c r="Q222"/>
      <c r="S222" s="3">
        <v>44628</v>
      </c>
      <c r="T222" s="1" t="s">
        <v>517</v>
      </c>
      <c r="U222" s="4">
        <v>-81400</v>
      </c>
      <c r="V222"/>
    </row>
    <row r="223" spans="16:22">
      <c r="P223"/>
      <c r="Q223"/>
      <c r="S223" s="3">
        <v>44628</v>
      </c>
      <c r="T223" s="1" t="s">
        <v>448</v>
      </c>
      <c r="U223" s="4">
        <v>-5500</v>
      </c>
      <c r="V223"/>
    </row>
    <row r="224" spans="16:22">
      <c r="P224"/>
      <c r="Q224"/>
      <c r="S224" s="3">
        <v>44628</v>
      </c>
      <c r="T224" s="1" t="s">
        <v>31</v>
      </c>
      <c r="U224" s="4">
        <v>-10500</v>
      </c>
      <c r="V224"/>
    </row>
    <row r="225" spans="16:22">
      <c r="P225"/>
      <c r="Q225"/>
      <c r="S225" s="3">
        <v>44628</v>
      </c>
      <c r="T225" s="1" t="s">
        <v>493</v>
      </c>
      <c r="U225" s="4">
        <v>-5000</v>
      </c>
      <c r="V225"/>
    </row>
    <row r="226" spans="16:22">
      <c r="P226"/>
      <c r="Q226"/>
      <c r="S226" s="3">
        <v>44627</v>
      </c>
      <c r="T226" s="1" t="s">
        <v>492</v>
      </c>
      <c r="U226" s="4">
        <v>-4500</v>
      </c>
      <c r="V226"/>
    </row>
    <row r="227" spans="16:22">
      <c r="P227"/>
      <c r="Q227"/>
      <c r="S227" s="3">
        <v>44627</v>
      </c>
      <c r="T227" s="1" t="s">
        <v>695</v>
      </c>
      <c r="U227" s="4">
        <v>-5562000</v>
      </c>
      <c r="V227"/>
    </row>
    <row r="228" spans="16:22">
      <c r="P228"/>
      <c r="Q228"/>
      <c r="S228" s="3">
        <v>44627</v>
      </c>
      <c r="T228" s="1" t="s">
        <v>694</v>
      </c>
      <c r="U228" s="4">
        <v>5562000</v>
      </c>
      <c r="V228"/>
    </row>
    <row r="229" spans="16:22">
      <c r="P229"/>
      <c r="Q229"/>
      <c r="S229" s="3">
        <v>44626</v>
      </c>
      <c r="T229" s="1" t="s">
        <v>492</v>
      </c>
      <c r="U229" s="4">
        <v>-12500</v>
      </c>
      <c r="V229"/>
    </row>
    <row r="230" spans="16:22">
      <c r="P230"/>
      <c r="Q230"/>
      <c r="S230" s="3">
        <v>44626</v>
      </c>
      <c r="T230" s="1" t="s">
        <v>514</v>
      </c>
      <c r="U230" s="4">
        <v>-6000</v>
      </c>
      <c r="V230"/>
    </row>
    <row r="231" spans="16:22">
      <c r="P231"/>
      <c r="Q231"/>
      <c r="S231" s="3">
        <v>44625</v>
      </c>
      <c r="T231" s="1" t="s">
        <v>493</v>
      </c>
      <c r="U231" s="4">
        <v>-4400</v>
      </c>
      <c r="V231"/>
    </row>
    <row r="232" spans="16:22">
      <c r="P232"/>
      <c r="Q232"/>
      <c r="S232" s="3">
        <v>44624</v>
      </c>
      <c r="T232" s="1" t="s">
        <v>486</v>
      </c>
      <c r="U232" s="4">
        <v>-135800</v>
      </c>
      <c r="V232"/>
    </row>
    <row r="233" spans="16:22">
      <c r="P233"/>
      <c r="Q233"/>
      <c r="S233" s="3">
        <v>44624</v>
      </c>
      <c r="T233" s="1" t="s">
        <v>522</v>
      </c>
      <c r="U233" s="4">
        <v>-18500</v>
      </c>
      <c r="V233"/>
    </row>
    <row r="234" spans="16:22">
      <c r="P234"/>
      <c r="Q234"/>
      <c r="S234" s="3">
        <v>44624</v>
      </c>
      <c r="T234" s="1" t="s">
        <v>496</v>
      </c>
      <c r="U234" s="4">
        <v>-4100</v>
      </c>
      <c r="V234"/>
    </row>
    <row r="235" spans="16:22">
      <c r="P235"/>
      <c r="Q235"/>
      <c r="S235" s="3">
        <v>44624</v>
      </c>
      <c r="T235" s="1" t="s">
        <v>682</v>
      </c>
      <c r="U235" s="4">
        <v>217920</v>
      </c>
      <c r="V235"/>
    </row>
    <row r="236" spans="16:22">
      <c r="P236"/>
      <c r="Q236"/>
      <c r="S236" s="3">
        <v>44624</v>
      </c>
      <c r="T236" s="1" t="s">
        <v>458</v>
      </c>
      <c r="U236" s="4">
        <v>-13700</v>
      </c>
      <c r="V236"/>
    </row>
    <row r="237" spans="16:22">
      <c r="P237"/>
      <c r="Q237"/>
      <c r="S237" s="3">
        <v>44623</v>
      </c>
      <c r="T237" s="1" t="s">
        <v>31</v>
      </c>
      <c r="U237" s="4">
        <v>-5600</v>
      </c>
      <c r="V237"/>
    </row>
    <row r="238" spans="16:22">
      <c r="P238"/>
      <c r="Q238"/>
      <c r="S238" s="3">
        <v>44622</v>
      </c>
      <c r="T238" s="1" t="s">
        <v>492</v>
      </c>
      <c r="U238" s="4">
        <v>-18400</v>
      </c>
      <c r="V238"/>
    </row>
    <row r="239" spans="16:22">
      <c r="P239"/>
      <c r="Q239"/>
      <c r="S239" s="3">
        <v>44622</v>
      </c>
      <c r="T239" s="1" t="s">
        <v>471</v>
      </c>
      <c r="U239" s="4">
        <v>-10300</v>
      </c>
      <c r="V239"/>
    </row>
    <row r="240" spans="16:22">
      <c r="P240"/>
      <c r="Q240"/>
      <c r="S240" s="3">
        <v>44621</v>
      </c>
      <c r="T240" s="1" t="s">
        <v>88</v>
      </c>
      <c r="U240" s="4">
        <v>-221800</v>
      </c>
      <c r="V240"/>
    </row>
    <row r="241" spans="16:22">
      <c r="P241"/>
      <c r="Q241"/>
      <c r="S241" s="3">
        <v>44621</v>
      </c>
      <c r="T241" s="1" t="s">
        <v>514</v>
      </c>
      <c r="U241" s="4">
        <v>-26100</v>
      </c>
      <c r="V241"/>
    </row>
    <row r="242" spans="16:22">
      <c r="P242"/>
      <c r="Q242"/>
      <c r="S242" s="3">
        <v>44621</v>
      </c>
      <c r="T242" s="1" t="s">
        <v>448</v>
      </c>
      <c r="U242" s="4">
        <v>-6800</v>
      </c>
      <c r="V242"/>
    </row>
    <row r="243" spans="16:22">
      <c r="P243"/>
      <c r="Q243"/>
      <c r="S243" s="3">
        <v>44621</v>
      </c>
      <c r="T243" s="1" t="s">
        <v>13</v>
      </c>
      <c r="U243" s="4">
        <v>-43500</v>
      </c>
      <c r="V243"/>
    </row>
    <row r="244" spans="16:22">
      <c r="P244"/>
      <c r="Q244"/>
      <c r="S244" s="3">
        <v>44621</v>
      </c>
      <c r="T244" s="1" t="s">
        <v>493</v>
      </c>
      <c r="U244" s="4">
        <v>-5400</v>
      </c>
      <c r="V244"/>
    </row>
    <row r="245" spans="16:22">
      <c r="P245"/>
      <c r="Q245"/>
      <c r="S245" s="3">
        <v>44620</v>
      </c>
      <c r="T245" s="1" t="s">
        <v>492</v>
      </c>
      <c r="U245" s="4">
        <v>-2800</v>
      </c>
      <c r="V245"/>
    </row>
    <row r="246" spans="16:22">
      <c r="P246"/>
      <c r="Q246"/>
      <c r="S246" s="3">
        <v>44620</v>
      </c>
      <c r="T246" s="1" t="s">
        <v>517</v>
      </c>
      <c r="U246" s="4">
        <v>-1900</v>
      </c>
      <c r="V246"/>
    </row>
    <row r="247" spans="16:22">
      <c r="P247"/>
      <c r="Q247"/>
      <c r="S247" s="3">
        <v>44620</v>
      </c>
      <c r="T247" s="1" t="s">
        <v>490</v>
      </c>
      <c r="U247" s="4">
        <v>-16700</v>
      </c>
      <c r="V247"/>
    </row>
    <row r="248" spans="16:22">
      <c r="P248"/>
      <c r="Q248"/>
      <c r="S248" s="3">
        <v>44618</v>
      </c>
      <c r="T248" s="1" t="s">
        <v>524</v>
      </c>
      <c r="U248" s="4">
        <v>-17700</v>
      </c>
      <c r="V248"/>
    </row>
    <row r="249" spans="16:22">
      <c r="P249"/>
      <c r="Q249"/>
      <c r="S249" s="3">
        <v>44618</v>
      </c>
      <c r="T249" s="1" t="s">
        <v>456</v>
      </c>
      <c r="U249" s="4">
        <v>-3800</v>
      </c>
      <c r="V249"/>
    </row>
    <row r="250" spans="16:22">
      <c r="P250"/>
      <c r="Q250"/>
      <c r="S250" s="3">
        <v>44618</v>
      </c>
      <c r="T250" s="1" t="s">
        <v>493</v>
      </c>
      <c r="U250" s="4">
        <v>-4200</v>
      </c>
      <c r="V250"/>
    </row>
    <row r="251" spans="16:22">
      <c r="P251"/>
      <c r="Q251"/>
      <c r="S251" s="3">
        <v>44617</v>
      </c>
      <c r="T251" s="1" t="s">
        <v>492</v>
      </c>
      <c r="U251" s="4">
        <v>-4500</v>
      </c>
      <c r="V251"/>
    </row>
    <row r="252" spans="16:22">
      <c r="P252"/>
      <c r="Q252"/>
      <c r="S252" s="3">
        <v>44617</v>
      </c>
      <c r="T252" s="1" t="s">
        <v>491</v>
      </c>
      <c r="U252" s="4">
        <v>-32100</v>
      </c>
      <c r="V252"/>
    </row>
    <row r="253" spans="16:22">
      <c r="P253"/>
      <c r="Q253"/>
      <c r="S253" s="3">
        <v>44617</v>
      </c>
      <c r="T253" s="1" t="s">
        <v>487</v>
      </c>
      <c r="U253" s="4">
        <v>-39600</v>
      </c>
      <c r="V253"/>
    </row>
    <row r="254" spans="16:22">
      <c r="P254"/>
      <c r="Q254"/>
      <c r="S254" s="3">
        <v>44617</v>
      </c>
      <c r="T254" s="1" t="s">
        <v>674</v>
      </c>
      <c r="U254" s="4">
        <v>-450000</v>
      </c>
      <c r="V254"/>
    </row>
    <row r="255" spans="16:22">
      <c r="P255"/>
      <c r="Q255"/>
      <c r="S255" s="3">
        <v>44617</v>
      </c>
      <c r="T255" s="1" t="s">
        <v>683</v>
      </c>
      <c r="U255" s="4">
        <v>2271000</v>
      </c>
      <c r="V255"/>
    </row>
    <row r="256" spans="16:22">
      <c r="P256"/>
      <c r="Q256"/>
      <c r="S256" s="3">
        <v>44617</v>
      </c>
      <c r="T256" s="1" t="s">
        <v>524</v>
      </c>
      <c r="U256" s="4">
        <v>-127600</v>
      </c>
      <c r="V256"/>
    </row>
    <row r="257" spans="16:22">
      <c r="P257"/>
      <c r="Q257"/>
      <c r="S257" s="3">
        <v>44617</v>
      </c>
      <c r="T257" s="1" t="s">
        <v>673</v>
      </c>
      <c r="U257" s="4">
        <v>-739300</v>
      </c>
      <c r="V257"/>
    </row>
    <row r="258" spans="16:22">
      <c r="P258"/>
      <c r="Q258"/>
      <c r="S258" s="3">
        <v>44617</v>
      </c>
      <c r="T258" s="1" t="s">
        <v>480</v>
      </c>
      <c r="U258" s="4">
        <v>-9200</v>
      </c>
      <c r="V258"/>
    </row>
    <row r="259" spans="16:22">
      <c r="P259"/>
      <c r="Q259"/>
      <c r="S259" s="3">
        <v>44617</v>
      </c>
      <c r="T259" s="1" t="s">
        <v>493</v>
      </c>
      <c r="U259" s="4">
        <v>-4600</v>
      </c>
      <c r="V259"/>
    </row>
    <row r="260" spans="16:22">
      <c r="P260"/>
      <c r="Q260"/>
      <c r="S260" s="3">
        <v>44616</v>
      </c>
      <c r="T260" s="1" t="s">
        <v>267</v>
      </c>
      <c r="U260" s="4">
        <v>-216400</v>
      </c>
      <c r="V260"/>
    </row>
    <row r="261" spans="16:22">
      <c r="P261"/>
      <c r="Q261"/>
      <c r="S261" s="3">
        <v>44616</v>
      </c>
      <c r="T261" s="1" t="s">
        <v>450</v>
      </c>
      <c r="U261" s="4">
        <v>-7000</v>
      </c>
      <c r="V261"/>
    </row>
    <row r="262" spans="16:22">
      <c r="P262"/>
      <c r="Q262"/>
      <c r="S262" s="3">
        <v>44616</v>
      </c>
      <c r="T262" s="1" t="s">
        <v>496</v>
      </c>
      <c r="U262" s="4">
        <v>-5000</v>
      </c>
      <c r="V262"/>
    </row>
    <row r="263" spans="16:22">
      <c r="P263"/>
      <c r="Q263"/>
      <c r="S263" s="3">
        <v>44615</v>
      </c>
      <c r="T263" s="1" t="s">
        <v>492</v>
      </c>
      <c r="U263" s="4">
        <v>-2900</v>
      </c>
      <c r="V263"/>
    </row>
    <row r="264" spans="16:22">
      <c r="P264"/>
      <c r="Q264"/>
      <c r="S264" s="3">
        <v>44615</v>
      </c>
      <c r="T264" s="1" t="s">
        <v>31</v>
      </c>
      <c r="U264" s="4">
        <v>-1500</v>
      </c>
      <c r="V264"/>
    </row>
    <row r="265" spans="16:22">
      <c r="P265"/>
      <c r="Q265"/>
      <c r="S265" s="3">
        <v>44615</v>
      </c>
      <c r="T265" s="1" t="s">
        <v>493</v>
      </c>
      <c r="U265" s="4">
        <v>-7600</v>
      </c>
      <c r="V265"/>
    </row>
    <row r="266" spans="16:22">
      <c r="P266"/>
      <c r="Q266"/>
      <c r="S266" s="3">
        <v>44614</v>
      </c>
      <c r="T266" s="1" t="s">
        <v>707</v>
      </c>
      <c r="U266" s="4">
        <v>-12500</v>
      </c>
      <c r="V266"/>
    </row>
    <row r="267" spans="16:22">
      <c r="P267"/>
      <c r="Q267"/>
      <c r="S267" s="3">
        <v>44614</v>
      </c>
      <c r="T267" s="1" t="s">
        <v>493</v>
      </c>
      <c r="U267" s="4">
        <v>-3700</v>
      </c>
      <c r="V267"/>
    </row>
    <row r="268" spans="16:22">
      <c r="P268"/>
      <c r="Q268"/>
      <c r="S268" s="3">
        <v>44613</v>
      </c>
      <c r="T268" s="1" t="s">
        <v>492</v>
      </c>
      <c r="U268" s="4">
        <v>-7000</v>
      </c>
      <c r="V268"/>
    </row>
    <row r="269" spans="16:22">
      <c r="P269"/>
      <c r="Q269"/>
      <c r="S269" s="3">
        <v>44613</v>
      </c>
      <c r="T269" s="1" t="s">
        <v>486</v>
      </c>
      <c r="U269" s="4">
        <v>-16600</v>
      </c>
      <c r="V269"/>
    </row>
    <row r="270" spans="16:22">
      <c r="P270"/>
      <c r="Q270"/>
      <c r="S270" s="3">
        <v>44613</v>
      </c>
      <c r="T270" s="1" t="s">
        <v>127</v>
      </c>
      <c r="U270" s="4">
        <v>-9700</v>
      </c>
      <c r="V270"/>
    </row>
    <row r="271" spans="16:22">
      <c r="P271"/>
      <c r="Q271"/>
      <c r="S271" s="3">
        <v>44613</v>
      </c>
      <c r="T271" s="1" t="s">
        <v>459</v>
      </c>
      <c r="U271" s="4">
        <v>-4200</v>
      </c>
      <c r="V271"/>
    </row>
    <row r="272" spans="16:22">
      <c r="P272"/>
      <c r="Q272"/>
      <c r="S272" s="3">
        <v>44613</v>
      </c>
      <c r="T272" s="1" t="s">
        <v>450</v>
      </c>
      <c r="U272" s="4">
        <v>-18400</v>
      </c>
      <c r="V272"/>
    </row>
    <row r="273" spans="16:22">
      <c r="P273"/>
      <c r="Q273"/>
      <c r="S273" s="3">
        <v>44613</v>
      </c>
      <c r="T273" s="1" t="s">
        <v>496</v>
      </c>
      <c r="U273" s="4">
        <v>-2600</v>
      </c>
      <c r="V273"/>
    </row>
    <row r="274" spans="16:22">
      <c r="P274"/>
      <c r="Q274"/>
      <c r="S274" s="3">
        <v>44613</v>
      </c>
      <c r="T274" s="1" t="s">
        <v>453</v>
      </c>
      <c r="U274" s="4">
        <v>-30700</v>
      </c>
      <c r="V274"/>
    </row>
    <row r="275" spans="16:22">
      <c r="P275"/>
      <c r="Q275"/>
      <c r="S275" s="3">
        <v>44613</v>
      </c>
      <c r="T275" s="1" t="s">
        <v>13</v>
      </c>
      <c r="U275" s="4">
        <v>-29000</v>
      </c>
      <c r="V275"/>
    </row>
    <row r="276" spans="16:22">
      <c r="P276"/>
      <c r="Q276"/>
      <c r="S276" s="3">
        <v>44613</v>
      </c>
      <c r="T276" s="1" t="s">
        <v>482</v>
      </c>
      <c r="U276" s="4">
        <v>-3100</v>
      </c>
      <c r="V276"/>
    </row>
    <row r="277" spans="16:22">
      <c r="P277"/>
      <c r="Q277"/>
      <c r="S277" s="3">
        <v>44611</v>
      </c>
      <c r="T277" s="1" t="s">
        <v>451</v>
      </c>
      <c r="U277" s="4">
        <v>-1200</v>
      </c>
      <c r="V277"/>
    </row>
    <row r="278" spans="16:22">
      <c r="P278"/>
      <c r="Q278"/>
      <c r="S278" s="3">
        <v>44611</v>
      </c>
      <c r="T278" s="1" t="s">
        <v>708</v>
      </c>
      <c r="U278" s="4">
        <v>-11800</v>
      </c>
      <c r="V278"/>
    </row>
    <row r="279" spans="16:22">
      <c r="P279"/>
      <c r="Q279"/>
      <c r="S279" s="3">
        <v>44611</v>
      </c>
      <c r="T279" s="1" t="s">
        <v>493</v>
      </c>
      <c r="U279" s="4">
        <v>-3600</v>
      </c>
      <c r="V279"/>
    </row>
    <row r="280" spans="16:22">
      <c r="P280"/>
      <c r="Q280"/>
      <c r="S280" s="3">
        <v>44610</v>
      </c>
      <c r="T280" s="1" t="s">
        <v>492</v>
      </c>
      <c r="U280" s="4">
        <v>-14300</v>
      </c>
      <c r="V280"/>
    </row>
    <row r="281" spans="16:22">
      <c r="P281"/>
      <c r="Q281"/>
      <c r="S281" s="3">
        <v>44610</v>
      </c>
      <c r="T281" s="1" t="s">
        <v>519</v>
      </c>
      <c r="U281" s="4">
        <v>-25800</v>
      </c>
      <c r="V281"/>
    </row>
    <row r="282" spans="16:22">
      <c r="P282"/>
      <c r="Q282"/>
      <c r="S282" s="3">
        <v>44609</v>
      </c>
      <c r="T282" s="1" t="s">
        <v>484</v>
      </c>
      <c r="U282" s="4">
        <v>-12000</v>
      </c>
      <c r="V282"/>
    </row>
    <row r="283" spans="16:22">
      <c r="P283"/>
      <c r="Q283"/>
      <c r="S283" s="3">
        <v>44608</v>
      </c>
      <c r="T283" s="1" t="s">
        <v>519</v>
      </c>
      <c r="U283" s="4">
        <v>-18100</v>
      </c>
      <c r="V283"/>
    </row>
    <row r="284" spans="16:22">
      <c r="P284"/>
      <c r="Q284"/>
      <c r="S284" s="3">
        <v>44608</v>
      </c>
      <c r="T284" s="1" t="s">
        <v>470</v>
      </c>
      <c r="U284" s="4">
        <v>-205600</v>
      </c>
      <c r="V284"/>
    </row>
    <row r="285" spans="16:22">
      <c r="P285"/>
      <c r="Q285"/>
      <c r="S285" s="3">
        <v>44607</v>
      </c>
      <c r="T285" s="1" t="s">
        <v>698</v>
      </c>
      <c r="U285" s="4">
        <v>-21700</v>
      </c>
      <c r="V285"/>
    </row>
    <row r="286" spans="16:22">
      <c r="P286"/>
      <c r="Q286"/>
      <c r="S286" s="3">
        <v>44607</v>
      </c>
      <c r="T286" s="1" t="s">
        <v>700</v>
      </c>
      <c r="U286" s="4">
        <v>-20400</v>
      </c>
      <c r="V286"/>
    </row>
    <row r="287" spans="16:22">
      <c r="P287"/>
      <c r="Q287"/>
      <c r="S287" s="3">
        <v>44606</v>
      </c>
      <c r="T287" s="1" t="s">
        <v>451</v>
      </c>
      <c r="U287" s="4">
        <v>-2900</v>
      </c>
      <c r="V287"/>
    </row>
    <row r="288" spans="16:22">
      <c r="P288"/>
      <c r="Q288"/>
      <c r="S288" s="3">
        <v>44606</v>
      </c>
      <c r="T288" s="1" t="s">
        <v>448</v>
      </c>
      <c r="U288" s="4">
        <v>-5900</v>
      </c>
      <c r="V288"/>
    </row>
    <row r="289" spans="16:22">
      <c r="P289"/>
      <c r="Q289"/>
      <c r="S289" s="3">
        <v>44606</v>
      </c>
      <c r="T289" s="1" t="s">
        <v>496</v>
      </c>
      <c r="U289" s="4">
        <v>-7600</v>
      </c>
      <c r="V289"/>
    </row>
    <row r="290" spans="16:22">
      <c r="P290"/>
      <c r="Q290"/>
      <c r="S290" s="3">
        <v>44606</v>
      </c>
      <c r="T290" s="1" t="s">
        <v>493</v>
      </c>
      <c r="U290" s="4">
        <v>-3600</v>
      </c>
      <c r="V290"/>
    </row>
    <row r="291" spans="16:22">
      <c r="P291"/>
      <c r="Q291"/>
      <c r="S291" s="3">
        <v>44606</v>
      </c>
      <c r="T291" s="1" t="s">
        <v>469</v>
      </c>
      <c r="U291" s="4">
        <v>-26700</v>
      </c>
      <c r="V291"/>
    </row>
    <row r="292" spans="16:22">
      <c r="P292"/>
      <c r="Q292"/>
      <c r="S292" s="3">
        <v>44605</v>
      </c>
      <c r="T292" s="1" t="s">
        <v>509</v>
      </c>
      <c r="U292" s="4">
        <v>-4000</v>
      </c>
      <c r="V292"/>
    </row>
    <row r="293" spans="16:22">
      <c r="P293"/>
      <c r="Q293"/>
      <c r="S293" s="3">
        <v>44604</v>
      </c>
      <c r="T293" s="1" t="s">
        <v>492</v>
      </c>
      <c r="U293" s="4">
        <v>-4300</v>
      </c>
      <c r="V293"/>
    </row>
    <row r="294" spans="16:22">
      <c r="P294"/>
      <c r="Q294"/>
      <c r="S294" s="3">
        <v>44604</v>
      </c>
      <c r="T294" s="1" t="s">
        <v>706</v>
      </c>
      <c r="U294" s="4">
        <v>-16600</v>
      </c>
      <c r="V294"/>
    </row>
    <row r="295" spans="16:22">
      <c r="P295"/>
      <c r="Q295"/>
      <c r="S295" s="3">
        <v>44604</v>
      </c>
      <c r="T295" s="1" t="s">
        <v>493</v>
      </c>
      <c r="U295" s="4">
        <v>-12300</v>
      </c>
      <c r="V295"/>
    </row>
    <row r="296" spans="16:22">
      <c r="P296"/>
      <c r="Q296"/>
      <c r="S296" s="3">
        <v>44603</v>
      </c>
      <c r="T296" s="1" t="s">
        <v>304</v>
      </c>
      <c r="U296" s="4">
        <v>-11000</v>
      </c>
      <c r="V296"/>
    </row>
    <row r="297" spans="16:22">
      <c r="P297"/>
      <c r="Q297"/>
      <c r="S297" s="3">
        <v>44603</v>
      </c>
      <c r="T297" s="1" t="s">
        <v>507</v>
      </c>
      <c r="U297" s="4">
        <v>-10200</v>
      </c>
      <c r="V297"/>
    </row>
    <row r="298" spans="16:22">
      <c r="P298"/>
      <c r="Q298"/>
      <c r="S298" s="3">
        <v>44603</v>
      </c>
      <c r="T298" s="1" t="s">
        <v>13</v>
      </c>
      <c r="U298" s="4">
        <v>-34300</v>
      </c>
      <c r="V298"/>
    </row>
    <row r="299" spans="16:22">
      <c r="P299"/>
      <c r="Q299"/>
      <c r="S299" s="3">
        <v>44603</v>
      </c>
      <c r="T299" s="1" t="s">
        <v>472</v>
      </c>
      <c r="U299" s="4">
        <v>-11400</v>
      </c>
      <c r="V299"/>
    </row>
    <row r="300" spans="16:22">
      <c r="P300"/>
      <c r="Q300"/>
      <c r="S300" s="3">
        <v>44602</v>
      </c>
      <c r="T300" s="1" t="s">
        <v>492</v>
      </c>
      <c r="U300" s="4">
        <v>-4500</v>
      </c>
      <c r="V300"/>
    </row>
    <row r="301" spans="16:22">
      <c r="P301"/>
      <c r="Q301"/>
      <c r="S301" s="3">
        <v>44602</v>
      </c>
      <c r="T301" s="1" t="s">
        <v>455</v>
      </c>
      <c r="U301" s="4">
        <v>-6500</v>
      </c>
      <c r="V301"/>
    </row>
    <row r="302" spans="16:22">
      <c r="P302"/>
      <c r="Q302"/>
      <c r="S302" s="3">
        <v>44602</v>
      </c>
      <c r="T302" s="1" t="s">
        <v>31</v>
      </c>
      <c r="U302" s="4">
        <v>-1600</v>
      </c>
      <c r="V302"/>
    </row>
    <row r="303" spans="16:22">
      <c r="P303"/>
      <c r="Q303"/>
      <c r="S303" s="3">
        <v>44602</v>
      </c>
      <c r="T303" s="1" t="s">
        <v>311</v>
      </c>
      <c r="U303" s="4">
        <v>-53300</v>
      </c>
      <c r="V303"/>
    </row>
    <row r="304" spans="16:22">
      <c r="P304"/>
      <c r="Q304"/>
      <c r="S304" s="3">
        <v>44602</v>
      </c>
      <c r="T304" s="1" t="s">
        <v>507</v>
      </c>
      <c r="U304" s="4">
        <v>-9200</v>
      </c>
      <c r="V304"/>
    </row>
    <row r="305" spans="16:22">
      <c r="P305"/>
      <c r="Q305"/>
      <c r="S305" s="3">
        <v>44601</v>
      </c>
      <c r="T305" s="1" t="s">
        <v>499</v>
      </c>
      <c r="U305" s="4">
        <v>-32500</v>
      </c>
      <c r="V305"/>
    </row>
    <row r="306" spans="16:22">
      <c r="P306"/>
      <c r="Q306"/>
      <c r="S306" s="3">
        <v>44601</v>
      </c>
      <c r="T306" s="1" t="s">
        <v>519</v>
      </c>
      <c r="U306" s="4">
        <v>-14200</v>
      </c>
      <c r="V306"/>
    </row>
    <row r="307" spans="16:22">
      <c r="P307"/>
      <c r="Q307"/>
      <c r="S307" s="3">
        <v>44601</v>
      </c>
      <c r="T307" s="1" t="s">
        <v>514</v>
      </c>
      <c r="U307" s="4">
        <v>-41700</v>
      </c>
      <c r="V307"/>
    </row>
    <row r="308" spans="16:22">
      <c r="P308"/>
      <c r="Q308"/>
      <c r="S308" s="3">
        <v>44600</v>
      </c>
      <c r="T308" s="1" t="s">
        <v>466</v>
      </c>
      <c r="U308" s="4">
        <v>-7400</v>
      </c>
      <c r="V308"/>
    </row>
    <row r="309" spans="16:22">
      <c r="P309"/>
      <c r="Q309"/>
      <c r="S309" s="3">
        <v>44600</v>
      </c>
      <c r="T309" s="1" t="s">
        <v>519</v>
      </c>
      <c r="U309" s="4">
        <v>-8400</v>
      </c>
      <c r="V309"/>
    </row>
    <row r="310" spans="16:22">
      <c r="P310"/>
      <c r="Q310"/>
      <c r="S310" s="3">
        <v>44600</v>
      </c>
      <c r="T310" s="1" t="s">
        <v>31</v>
      </c>
      <c r="U310" s="4">
        <v>-12200</v>
      </c>
      <c r="V310"/>
    </row>
    <row r="311" spans="16:22">
      <c r="P311"/>
      <c r="Q311"/>
      <c r="S311" s="3">
        <v>44600</v>
      </c>
      <c r="T311" s="1" t="s">
        <v>311</v>
      </c>
      <c r="U311" s="4">
        <v>-50000</v>
      </c>
      <c r="V311"/>
    </row>
    <row r="312" spans="16:22">
      <c r="P312"/>
      <c r="Q312"/>
      <c r="S312" s="3">
        <v>44600</v>
      </c>
      <c r="T312" s="1" t="s">
        <v>456</v>
      </c>
      <c r="U312" s="4">
        <v>-5700</v>
      </c>
      <c r="V312"/>
    </row>
    <row r="313" spans="16:22">
      <c r="P313"/>
      <c r="Q313"/>
      <c r="S313" s="3">
        <v>44599</v>
      </c>
      <c r="T313" s="1" t="s">
        <v>677</v>
      </c>
      <c r="U313" s="4">
        <v>-17800</v>
      </c>
      <c r="V313"/>
    </row>
    <row r="314" spans="16:22">
      <c r="P314"/>
      <c r="Q314"/>
      <c r="S314" s="3">
        <v>44599</v>
      </c>
      <c r="T314" s="1" t="s">
        <v>522</v>
      </c>
      <c r="U314" s="4">
        <v>-3300</v>
      </c>
      <c r="V314"/>
    </row>
    <row r="315" spans="16:22">
      <c r="P315"/>
      <c r="Q315"/>
      <c r="S315" s="3">
        <v>44599</v>
      </c>
      <c r="T315" s="1" t="s">
        <v>519</v>
      </c>
      <c r="U315" s="4">
        <v>-4900</v>
      </c>
      <c r="V315"/>
    </row>
    <row r="316" spans="16:22">
      <c r="P316"/>
      <c r="Q316"/>
      <c r="S316" s="3">
        <v>44599</v>
      </c>
      <c r="T316" s="1" t="s">
        <v>478</v>
      </c>
      <c r="U316" s="4">
        <v>-5900</v>
      </c>
      <c r="V316"/>
    </row>
    <row r="317" spans="16:22">
      <c r="P317"/>
      <c r="Q317"/>
      <c r="S317" s="3">
        <v>44599</v>
      </c>
      <c r="T317" s="1" t="s">
        <v>458</v>
      </c>
      <c r="U317" s="4">
        <v>-3900</v>
      </c>
      <c r="V317"/>
    </row>
    <row r="318" spans="16:22">
      <c r="P318"/>
      <c r="Q318"/>
      <c r="S318" s="3">
        <v>44599</v>
      </c>
      <c r="T318" s="1" t="s">
        <v>493</v>
      </c>
      <c r="U318" s="4">
        <v>-15000</v>
      </c>
      <c r="V318"/>
    </row>
    <row r="319" spans="16:22">
      <c r="P319"/>
      <c r="Q319"/>
      <c r="S319" s="3">
        <v>44598</v>
      </c>
      <c r="T319" s="1" t="s">
        <v>492</v>
      </c>
      <c r="U319" s="4">
        <v>-8900</v>
      </c>
      <c r="V319"/>
    </row>
    <row r="320" spans="16:22">
      <c r="P320"/>
      <c r="Q320"/>
      <c r="S320" s="3">
        <v>44598</v>
      </c>
      <c r="T320" s="1" t="s">
        <v>522</v>
      </c>
      <c r="U320" s="4">
        <v>-10200</v>
      </c>
      <c r="V320"/>
    </row>
    <row r="321" spans="16:22">
      <c r="P321"/>
      <c r="Q321"/>
      <c r="S321" s="3">
        <v>44597</v>
      </c>
      <c r="T321" s="1" t="s">
        <v>523</v>
      </c>
      <c r="U321" s="4">
        <v>-4800</v>
      </c>
      <c r="V321"/>
    </row>
    <row r="322" spans="16:22">
      <c r="P322"/>
      <c r="Q322"/>
      <c r="S322" s="3">
        <v>44597</v>
      </c>
      <c r="T322" s="1" t="s">
        <v>514</v>
      </c>
      <c r="U322" s="4">
        <v>-23800</v>
      </c>
      <c r="V322"/>
    </row>
    <row r="323" spans="16:22">
      <c r="P323"/>
      <c r="Q323"/>
      <c r="S323" s="3">
        <v>44597</v>
      </c>
      <c r="T323" s="1" t="s">
        <v>493</v>
      </c>
      <c r="U323" s="4">
        <v>-3600</v>
      </c>
      <c r="V323"/>
    </row>
    <row r="324" spans="16:22">
      <c r="P324"/>
      <c r="Q324"/>
      <c r="S324" s="3">
        <v>44596</v>
      </c>
      <c r="T324" s="1" t="s">
        <v>492</v>
      </c>
      <c r="U324" s="4">
        <v>-7700</v>
      </c>
      <c r="V324"/>
    </row>
    <row r="325" spans="16:22">
      <c r="P325"/>
      <c r="Q325"/>
      <c r="S325" s="3">
        <v>44596</v>
      </c>
      <c r="T325" s="1" t="s">
        <v>675</v>
      </c>
      <c r="U325" s="4">
        <v>-38000</v>
      </c>
      <c r="V325"/>
    </row>
    <row r="326" spans="16:22">
      <c r="P326"/>
      <c r="Q326"/>
      <c r="S326" s="3">
        <v>44596</v>
      </c>
      <c r="T326" s="1" t="s">
        <v>448</v>
      </c>
      <c r="U326" s="4">
        <v>-5900</v>
      </c>
      <c r="V326"/>
    </row>
    <row r="327" spans="16:22">
      <c r="P327"/>
      <c r="Q327"/>
      <c r="S327" s="3">
        <v>44596</v>
      </c>
      <c r="T327" s="1" t="s">
        <v>496</v>
      </c>
      <c r="U327" s="4">
        <v>-5300</v>
      </c>
      <c r="V327"/>
    </row>
    <row r="328" spans="16:22">
      <c r="P328"/>
      <c r="Q328"/>
      <c r="S328" s="3">
        <v>44596</v>
      </c>
      <c r="T328" s="1" t="s">
        <v>682</v>
      </c>
      <c r="U328" s="4">
        <v>165590</v>
      </c>
      <c r="V328"/>
    </row>
    <row r="329" spans="16:22">
      <c r="P329"/>
      <c r="Q329"/>
      <c r="S329" s="3">
        <v>44595</v>
      </c>
      <c r="T329" s="1" t="s">
        <v>490</v>
      </c>
      <c r="U329" s="4">
        <v>-18800</v>
      </c>
      <c r="V329"/>
    </row>
    <row r="330" spans="16:22">
      <c r="P330"/>
      <c r="Q330"/>
      <c r="S330" s="3">
        <v>44595</v>
      </c>
      <c r="T330" s="1" t="s">
        <v>31</v>
      </c>
      <c r="U330" s="4">
        <v>-4300</v>
      </c>
      <c r="V330"/>
    </row>
    <row r="331" spans="16:22">
      <c r="P331"/>
      <c r="Q331"/>
      <c r="S331" s="3">
        <v>44595</v>
      </c>
      <c r="T331" s="1" t="s">
        <v>703</v>
      </c>
      <c r="U331" s="4">
        <v>-18400</v>
      </c>
      <c r="V331"/>
    </row>
    <row r="332" spans="16:22">
      <c r="P332"/>
      <c r="Q332"/>
      <c r="S332" s="3">
        <v>44594</v>
      </c>
      <c r="T332" s="1" t="s">
        <v>518</v>
      </c>
      <c r="U332" s="4">
        <v>-13900</v>
      </c>
      <c r="V332"/>
    </row>
    <row r="333" spans="16:22">
      <c r="P333"/>
      <c r="Q333"/>
      <c r="S333" s="3">
        <v>44593</v>
      </c>
      <c r="T333" s="1" t="s">
        <v>492</v>
      </c>
      <c r="U333" s="4">
        <v>-8800</v>
      </c>
      <c r="V333"/>
    </row>
    <row r="334" spans="16:22">
      <c r="P334"/>
      <c r="Q334"/>
      <c r="S334" s="3">
        <v>44593</v>
      </c>
      <c r="T334" s="1" t="s">
        <v>448</v>
      </c>
      <c r="U334" s="4">
        <v>-27800</v>
      </c>
      <c r="V334"/>
    </row>
    <row r="335" spans="16:22">
      <c r="P335"/>
      <c r="Q335"/>
      <c r="S335" s="3">
        <v>44592</v>
      </c>
      <c r="T335" s="1" t="s">
        <v>678</v>
      </c>
      <c r="U335" s="4">
        <v>-13000</v>
      </c>
      <c r="V335"/>
    </row>
    <row r="336" spans="16:22">
      <c r="P336"/>
      <c r="Q336"/>
      <c r="S336" s="3">
        <v>44591</v>
      </c>
      <c r="T336" s="1" t="s">
        <v>492</v>
      </c>
      <c r="U336" s="4">
        <v>-10800</v>
      </c>
      <c r="V336"/>
    </row>
    <row r="337" spans="16:22">
      <c r="P337"/>
      <c r="Q337"/>
      <c r="S337" s="3">
        <v>44591</v>
      </c>
      <c r="T337" s="1" t="s">
        <v>514</v>
      </c>
      <c r="U337" s="4">
        <v>-5600</v>
      </c>
      <c r="V337"/>
    </row>
    <row r="338" spans="16:22">
      <c r="P338"/>
      <c r="Q338"/>
      <c r="S338" s="3">
        <v>44591</v>
      </c>
      <c r="T338" s="1" t="s">
        <v>31</v>
      </c>
      <c r="U338" s="4">
        <v>-2100</v>
      </c>
      <c r="V338"/>
    </row>
    <row r="339" spans="16:22">
      <c r="P339"/>
      <c r="Q339"/>
      <c r="S339" s="3">
        <v>44591</v>
      </c>
      <c r="T339" s="1" t="s">
        <v>493</v>
      </c>
      <c r="U339" s="4">
        <v>-15400</v>
      </c>
      <c r="V339"/>
    </row>
    <row r="340" spans="16:22">
      <c r="P340"/>
      <c r="Q340"/>
      <c r="S340" s="3">
        <v>44590</v>
      </c>
      <c r="T340" s="1" t="s">
        <v>696</v>
      </c>
      <c r="U340" s="4">
        <v>-58600</v>
      </c>
      <c r="V340"/>
    </row>
    <row r="341" spans="16:22">
      <c r="P341"/>
      <c r="Q341"/>
      <c r="S341" s="3">
        <v>44590</v>
      </c>
      <c r="T341" s="1" t="s">
        <v>476</v>
      </c>
      <c r="U341" s="4">
        <v>-1500</v>
      </c>
      <c r="V341"/>
    </row>
    <row r="342" spans="16:22">
      <c r="P342"/>
      <c r="Q342"/>
      <c r="S342" s="3">
        <v>44590</v>
      </c>
      <c r="T342" s="1" t="s">
        <v>480</v>
      </c>
      <c r="U342" s="4">
        <v>-7400</v>
      </c>
      <c r="V342"/>
    </row>
    <row r="343" spans="16:22">
      <c r="P343"/>
      <c r="Q343"/>
      <c r="S343" s="3">
        <v>44589</v>
      </c>
      <c r="T343" s="1" t="s">
        <v>492</v>
      </c>
      <c r="U343" s="4">
        <v>-8100</v>
      </c>
      <c r="V343"/>
    </row>
    <row r="344" spans="16:22">
      <c r="P344"/>
      <c r="Q344"/>
      <c r="S344" s="3">
        <v>44589</v>
      </c>
      <c r="T344" s="1" t="s">
        <v>451</v>
      </c>
      <c r="U344" s="4">
        <v>-3400</v>
      </c>
      <c r="V344"/>
    </row>
    <row r="345" spans="16:22">
      <c r="P345"/>
      <c r="Q345"/>
      <c r="S345" s="3">
        <v>44589</v>
      </c>
      <c r="T345" s="1" t="s">
        <v>496</v>
      </c>
      <c r="U345" s="4">
        <v>-2400</v>
      </c>
      <c r="V345"/>
    </row>
    <row r="346" spans="16:22">
      <c r="P346"/>
      <c r="Q346"/>
      <c r="S346" s="3">
        <v>44589</v>
      </c>
      <c r="T346" s="1" t="s">
        <v>452</v>
      </c>
      <c r="U346" s="4">
        <v>-11700</v>
      </c>
      <c r="V346"/>
    </row>
    <row r="347" spans="16:22">
      <c r="P347"/>
      <c r="Q347"/>
      <c r="S347" s="3">
        <v>44588</v>
      </c>
      <c r="T347" s="1" t="s">
        <v>464</v>
      </c>
      <c r="U347" s="4">
        <v>-16600</v>
      </c>
      <c r="V347"/>
    </row>
    <row r="348" spans="16:22">
      <c r="P348"/>
      <c r="Q348"/>
      <c r="S348" s="3">
        <v>44588</v>
      </c>
      <c r="T348" s="1" t="s">
        <v>455</v>
      </c>
      <c r="U348" s="4">
        <v>-3700</v>
      </c>
      <c r="V348"/>
    </row>
    <row r="349" spans="16:22">
      <c r="P349"/>
      <c r="Q349"/>
      <c r="S349" s="3">
        <v>44588</v>
      </c>
      <c r="T349" s="1" t="s">
        <v>450</v>
      </c>
      <c r="U349" s="4">
        <v>-4600</v>
      </c>
      <c r="V349"/>
    </row>
    <row r="350" spans="16:22">
      <c r="S350" s="3">
        <v>44588</v>
      </c>
      <c r="T350" s="1" t="s">
        <v>484</v>
      </c>
      <c r="U350" s="4">
        <v>-12600</v>
      </c>
      <c r="V350"/>
    </row>
    <row r="351" spans="16:22">
      <c r="S351" s="3">
        <v>44587</v>
      </c>
      <c r="T351" s="1" t="s">
        <v>492</v>
      </c>
      <c r="U351" s="4">
        <v>-4100</v>
      </c>
      <c r="V351"/>
    </row>
    <row r="352" spans="16:22">
      <c r="S352" s="3">
        <v>44587</v>
      </c>
      <c r="T352" s="1" t="s">
        <v>517</v>
      </c>
      <c r="U352" s="4">
        <v>-1900</v>
      </c>
      <c r="V352"/>
    </row>
    <row r="353" spans="19:22">
      <c r="S353" s="3">
        <v>44587</v>
      </c>
      <c r="T353" s="1" t="s">
        <v>702</v>
      </c>
      <c r="U353" s="4">
        <v>-19000</v>
      </c>
      <c r="V353"/>
    </row>
    <row r="354" spans="19:22">
      <c r="S354" s="3">
        <v>44586</v>
      </c>
      <c r="T354" s="1" t="s">
        <v>491</v>
      </c>
      <c r="U354" s="4">
        <v>-30600</v>
      </c>
      <c r="V354"/>
    </row>
    <row r="355" spans="19:22">
      <c r="S355" s="3">
        <v>44586</v>
      </c>
      <c r="T355" s="1" t="s">
        <v>471</v>
      </c>
      <c r="U355" s="4">
        <v>-8500</v>
      </c>
      <c r="V355"/>
    </row>
    <row r="356" spans="19:22">
      <c r="S356" s="3">
        <v>44586</v>
      </c>
      <c r="T356" s="1" t="s">
        <v>487</v>
      </c>
      <c r="U356" s="4">
        <v>-54500</v>
      </c>
      <c r="V356"/>
    </row>
    <row r="357" spans="19:22">
      <c r="S357" s="3">
        <v>44586</v>
      </c>
      <c r="T357" s="1" t="s">
        <v>674</v>
      </c>
      <c r="U357" s="4">
        <v>-450000</v>
      </c>
      <c r="V357"/>
    </row>
    <row r="358" spans="19:22">
      <c r="S358" s="3">
        <v>44586</v>
      </c>
      <c r="T358" s="1" t="s">
        <v>502</v>
      </c>
      <c r="U358" s="4">
        <v>-11000</v>
      </c>
      <c r="V358"/>
    </row>
    <row r="359" spans="19:22">
      <c r="S359" s="3">
        <v>44586</v>
      </c>
      <c r="T359" s="1" t="s">
        <v>683</v>
      </c>
      <c r="U359" s="4">
        <v>2754000</v>
      </c>
      <c r="V359"/>
    </row>
    <row r="360" spans="19:22">
      <c r="S360" s="3">
        <v>44586</v>
      </c>
      <c r="T360" s="1" t="s">
        <v>524</v>
      </c>
      <c r="U360" s="4">
        <v>-113100</v>
      </c>
      <c r="V360"/>
    </row>
    <row r="361" spans="19:22">
      <c r="S361" s="3">
        <v>44586</v>
      </c>
      <c r="T361" s="1" t="s">
        <v>673</v>
      </c>
      <c r="U361" s="4">
        <v>-819800</v>
      </c>
      <c r="V361"/>
    </row>
    <row r="362" spans="19:22">
      <c r="S362" s="3">
        <v>44586</v>
      </c>
      <c r="T362" s="1" t="s">
        <v>478</v>
      </c>
      <c r="U362" s="4">
        <v>-4900</v>
      </c>
      <c r="V362"/>
    </row>
    <row r="363" spans="19:22">
      <c r="S363" s="3">
        <v>44586</v>
      </c>
      <c r="T363" s="1" t="s">
        <v>378</v>
      </c>
      <c r="U363" s="4">
        <v>-3500</v>
      </c>
      <c r="V363"/>
    </row>
    <row r="364" spans="19:22">
      <c r="S364" s="3">
        <v>44585</v>
      </c>
      <c r="T364" s="1" t="s">
        <v>492</v>
      </c>
      <c r="U364" s="4">
        <v>-11400</v>
      </c>
      <c r="V364"/>
    </row>
    <row r="365" spans="19:22">
      <c r="S365" s="3">
        <v>44585</v>
      </c>
      <c r="T365" s="1" t="s">
        <v>499</v>
      </c>
      <c r="U365" s="4">
        <v>-10700</v>
      </c>
      <c r="V365"/>
    </row>
    <row r="366" spans="19:22">
      <c r="S366" s="3">
        <v>44584</v>
      </c>
      <c r="T366" s="1" t="s">
        <v>455</v>
      </c>
      <c r="U366" s="4">
        <v>-4300</v>
      </c>
      <c r="V366"/>
    </row>
    <row r="367" spans="19:22">
      <c r="S367" s="3">
        <v>44584</v>
      </c>
      <c r="T367" s="1" t="s">
        <v>31</v>
      </c>
      <c r="U367" s="4">
        <v>-2300</v>
      </c>
      <c r="V367"/>
    </row>
    <row r="368" spans="19:22">
      <c r="S368" s="3">
        <v>44583</v>
      </c>
      <c r="T368" s="1" t="s">
        <v>476</v>
      </c>
      <c r="U368" s="4">
        <v>-3600</v>
      </c>
      <c r="V368"/>
    </row>
    <row r="369" spans="19:22">
      <c r="S369" s="3">
        <v>44582</v>
      </c>
      <c r="T369" s="1" t="s">
        <v>492</v>
      </c>
      <c r="U369" s="4">
        <v>-6600</v>
      </c>
      <c r="V369"/>
    </row>
    <row r="370" spans="19:22">
      <c r="S370" s="3">
        <v>44582</v>
      </c>
      <c r="T370" s="1" t="s">
        <v>486</v>
      </c>
      <c r="U370" s="4">
        <v>-13700</v>
      </c>
      <c r="V370"/>
    </row>
    <row r="371" spans="19:22">
      <c r="S371" s="3">
        <v>44582</v>
      </c>
      <c r="T371" s="1" t="s">
        <v>459</v>
      </c>
      <c r="U371" s="4">
        <v>-5600</v>
      </c>
      <c r="V371"/>
    </row>
    <row r="372" spans="19:22">
      <c r="S372" s="3">
        <v>44582</v>
      </c>
      <c r="T372" s="1" t="s">
        <v>467</v>
      </c>
      <c r="U372" s="4">
        <v>-52000</v>
      </c>
      <c r="V372"/>
    </row>
    <row r="373" spans="19:22">
      <c r="S373" s="3">
        <v>44582</v>
      </c>
      <c r="T373" s="1" t="s">
        <v>453</v>
      </c>
      <c r="U373" s="4">
        <v>-40900</v>
      </c>
      <c r="V373"/>
    </row>
    <row r="374" spans="19:22">
      <c r="S374" s="3">
        <v>44581</v>
      </c>
      <c r="T374" s="1" t="s">
        <v>485</v>
      </c>
      <c r="U374" s="4">
        <v>-10700</v>
      </c>
      <c r="V374"/>
    </row>
    <row r="375" spans="19:22">
      <c r="S375" s="3">
        <v>44581</v>
      </c>
      <c r="T375" s="1" t="s">
        <v>472</v>
      </c>
      <c r="U375" s="4">
        <v>-21200</v>
      </c>
      <c r="V375"/>
    </row>
    <row r="376" spans="19:22">
      <c r="S376" s="3">
        <v>44580</v>
      </c>
      <c r="T376" s="1" t="s">
        <v>127</v>
      </c>
      <c r="U376" s="4">
        <v>-9800</v>
      </c>
      <c r="V376"/>
    </row>
    <row r="377" spans="19:22">
      <c r="S377" s="3">
        <v>44580</v>
      </c>
      <c r="T377" s="1" t="s">
        <v>496</v>
      </c>
      <c r="U377" s="4">
        <v>-4500</v>
      </c>
      <c r="V377"/>
    </row>
    <row r="378" spans="19:22">
      <c r="S378" s="3">
        <v>44579</v>
      </c>
      <c r="T378" s="1" t="s">
        <v>448</v>
      </c>
      <c r="U378" s="4">
        <v>-6200</v>
      </c>
      <c r="V378"/>
    </row>
    <row r="379" spans="19:22">
      <c r="S379" s="3">
        <v>44579</v>
      </c>
      <c r="T379" s="1" t="s">
        <v>456</v>
      </c>
      <c r="U379" s="4">
        <v>-4100</v>
      </c>
      <c r="V379"/>
    </row>
    <row r="380" spans="19:22">
      <c r="S380" s="3">
        <v>44579</v>
      </c>
      <c r="T380" s="1" t="s">
        <v>493</v>
      </c>
      <c r="U380" s="4">
        <v>-4400</v>
      </c>
      <c r="V380"/>
    </row>
    <row r="381" spans="19:22">
      <c r="S381" s="3">
        <v>44578</v>
      </c>
      <c r="T381" s="1" t="s">
        <v>471</v>
      </c>
      <c r="U381" s="4">
        <v>-16400</v>
      </c>
      <c r="V381"/>
    </row>
    <row r="382" spans="19:22">
      <c r="S382" s="3">
        <v>44578</v>
      </c>
      <c r="T382" s="1" t="s">
        <v>28</v>
      </c>
      <c r="U382" s="4">
        <v>-7400</v>
      </c>
      <c r="V382"/>
    </row>
    <row r="383" spans="19:22">
      <c r="S383" s="3">
        <v>44578</v>
      </c>
      <c r="T383" s="1" t="s">
        <v>13</v>
      </c>
      <c r="U383" s="4">
        <v>-25100</v>
      </c>
      <c r="V383"/>
    </row>
    <row r="384" spans="19:22">
      <c r="S384" s="3">
        <v>44578</v>
      </c>
      <c r="T384" s="1" t="s">
        <v>498</v>
      </c>
      <c r="U384" s="4">
        <v>-2700</v>
      </c>
      <c r="V384"/>
    </row>
    <row r="385" spans="19:22">
      <c r="S385" s="3">
        <v>44578</v>
      </c>
      <c r="T385" s="1" t="s">
        <v>493</v>
      </c>
      <c r="U385" s="4">
        <v>-4600</v>
      </c>
      <c r="V385"/>
    </row>
    <row r="386" spans="19:22">
      <c r="S386" s="3">
        <v>44577</v>
      </c>
      <c r="T386" s="1" t="s">
        <v>470</v>
      </c>
      <c r="U386" s="4">
        <v>-272600</v>
      </c>
      <c r="V386"/>
    </row>
    <row r="387" spans="19:22">
      <c r="S387" s="3">
        <v>44577</v>
      </c>
      <c r="T387" s="1" t="s">
        <v>510</v>
      </c>
      <c r="U387" s="4">
        <v>-18400</v>
      </c>
      <c r="V387"/>
    </row>
    <row r="388" spans="19:22">
      <c r="S388" s="3">
        <v>44576</v>
      </c>
      <c r="T388" s="1" t="s">
        <v>492</v>
      </c>
      <c r="U388" s="4">
        <v>-13700</v>
      </c>
      <c r="V388"/>
    </row>
    <row r="389" spans="19:22">
      <c r="S389" s="3">
        <v>44576</v>
      </c>
      <c r="T389" s="1" t="s">
        <v>311</v>
      </c>
      <c r="U389" s="4">
        <v>-41300</v>
      </c>
      <c r="V389"/>
    </row>
    <row r="390" spans="19:22">
      <c r="S390" s="3">
        <v>44576</v>
      </c>
      <c r="T390" s="1" t="s">
        <v>493</v>
      </c>
      <c r="U390" s="4">
        <v>-4300</v>
      </c>
      <c r="V390"/>
    </row>
    <row r="391" spans="19:22">
      <c r="S391" s="3">
        <v>44575</v>
      </c>
      <c r="T391" s="1" t="s">
        <v>304</v>
      </c>
      <c r="U391" s="4">
        <v>-10500</v>
      </c>
      <c r="V391"/>
    </row>
    <row r="392" spans="19:22">
      <c r="S392" s="3">
        <v>44575</v>
      </c>
      <c r="T392" s="1" t="s">
        <v>455</v>
      </c>
      <c r="U392" s="4">
        <v>-2500</v>
      </c>
      <c r="V392"/>
    </row>
    <row r="393" spans="19:22">
      <c r="S393" s="3">
        <v>44574</v>
      </c>
      <c r="T393" s="1" t="s">
        <v>492</v>
      </c>
      <c r="U393" s="4">
        <v>-6400</v>
      </c>
      <c r="V393"/>
    </row>
    <row r="394" spans="19:22">
      <c r="S394" s="3">
        <v>44574</v>
      </c>
      <c r="T394" s="1" t="s">
        <v>451</v>
      </c>
      <c r="U394" s="4">
        <v>-8000</v>
      </c>
      <c r="V394"/>
    </row>
    <row r="395" spans="19:22">
      <c r="S395" s="3">
        <v>44574</v>
      </c>
      <c r="T395" s="1" t="s">
        <v>450</v>
      </c>
      <c r="U395" s="4">
        <v>-3100</v>
      </c>
      <c r="V395"/>
    </row>
    <row r="396" spans="19:22">
      <c r="S396" s="3">
        <v>44573</v>
      </c>
      <c r="T396" s="1" t="s">
        <v>492</v>
      </c>
      <c r="U396" s="4">
        <v>-5800</v>
      </c>
      <c r="V396"/>
    </row>
    <row r="397" spans="19:22">
      <c r="S397" s="3">
        <v>44573</v>
      </c>
      <c r="T397" s="1" t="s">
        <v>496</v>
      </c>
      <c r="U397" s="4">
        <v>-2900</v>
      </c>
      <c r="V397"/>
    </row>
    <row r="398" spans="19:22">
      <c r="S398" s="3">
        <v>44573</v>
      </c>
      <c r="T398" s="1" t="s">
        <v>311</v>
      </c>
      <c r="U398" s="4">
        <v>-13800</v>
      </c>
      <c r="V398"/>
    </row>
    <row r="399" spans="19:22">
      <c r="S399" s="3">
        <v>44573</v>
      </c>
      <c r="T399" s="1" t="s">
        <v>456</v>
      </c>
      <c r="U399" s="4">
        <v>-5800</v>
      </c>
      <c r="V399"/>
    </row>
    <row r="400" spans="19:22">
      <c r="S400" s="3">
        <v>44572</v>
      </c>
      <c r="T400" s="1" t="s">
        <v>699</v>
      </c>
      <c r="U400" s="4">
        <v>-21400</v>
      </c>
      <c r="V400"/>
    </row>
    <row r="401" spans="19:22">
      <c r="S401" s="3">
        <v>44571</v>
      </c>
      <c r="T401" s="1" t="s">
        <v>492</v>
      </c>
      <c r="U401" s="4">
        <v>-15300</v>
      </c>
      <c r="V401"/>
    </row>
    <row r="402" spans="19:22">
      <c r="S402" s="3">
        <v>44571</v>
      </c>
      <c r="T402" s="1" t="s">
        <v>31</v>
      </c>
      <c r="U402" s="4">
        <v>-2000</v>
      </c>
      <c r="V402"/>
    </row>
    <row r="403" spans="19:22">
      <c r="S403" s="3">
        <v>44571</v>
      </c>
      <c r="T403" s="1" t="s">
        <v>478</v>
      </c>
      <c r="U403" s="4">
        <v>-9500</v>
      </c>
      <c r="V403"/>
    </row>
    <row r="404" spans="19:22">
      <c r="S404" s="3">
        <v>44571</v>
      </c>
      <c r="T404" s="1" t="s">
        <v>472</v>
      </c>
      <c r="U404" s="4">
        <v>-7800</v>
      </c>
      <c r="V404"/>
    </row>
    <row r="405" spans="19:22">
      <c r="S405" s="3">
        <v>44570</v>
      </c>
      <c r="T405" s="1" t="s">
        <v>464</v>
      </c>
      <c r="U405" s="4">
        <v>-5900</v>
      </c>
      <c r="V405"/>
    </row>
    <row r="406" spans="19:22">
      <c r="S406" s="3">
        <v>44569</v>
      </c>
      <c r="T406" s="1" t="s">
        <v>492</v>
      </c>
      <c r="U406" s="4">
        <v>-11900</v>
      </c>
      <c r="V406"/>
    </row>
    <row r="407" spans="19:22">
      <c r="S407" s="3">
        <v>44569</v>
      </c>
      <c r="T407" s="1" t="s">
        <v>511</v>
      </c>
      <c r="U407" s="4">
        <v>-56500</v>
      </c>
      <c r="V407"/>
    </row>
    <row r="408" spans="19:22">
      <c r="S408" s="3">
        <v>44569</v>
      </c>
      <c r="T408" s="1" t="s">
        <v>455</v>
      </c>
      <c r="U408" s="4">
        <v>-6800</v>
      </c>
      <c r="V408"/>
    </row>
    <row r="409" spans="19:22">
      <c r="S409" s="3">
        <v>44569</v>
      </c>
      <c r="T409" s="1" t="s">
        <v>31</v>
      </c>
      <c r="U409" s="4">
        <v>-12200</v>
      </c>
      <c r="V409"/>
    </row>
    <row r="410" spans="19:22">
      <c r="S410" s="3">
        <v>44569</v>
      </c>
      <c r="T410" s="1" t="s">
        <v>516</v>
      </c>
      <c r="U410" s="4">
        <v>-5600</v>
      </c>
      <c r="V410"/>
    </row>
    <row r="411" spans="19:22">
      <c r="S411" s="3">
        <v>44568</v>
      </c>
      <c r="T411" s="1" t="s">
        <v>497</v>
      </c>
      <c r="U411" s="4">
        <v>-8800</v>
      </c>
      <c r="V411"/>
    </row>
    <row r="412" spans="19:22">
      <c r="S412" s="3">
        <v>44568</v>
      </c>
      <c r="T412" s="1" t="s">
        <v>452</v>
      </c>
      <c r="U412" s="4">
        <v>-10400</v>
      </c>
      <c r="V412"/>
    </row>
    <row r="413" spans="19:22">
      <c r="S413" s="3">
        <v>44567</v>
      </c>
      <c r="T413" s="1" t="s">
        <v>448</v>
      </c>
      <c r="U413" s="4">
        <v>-5400</v>
      </c>
      <c r="V413"/>
    </row>
    <row r="414" spans="19:22">
      <c r="S414" s="3">
        <v>44566</v>
      </c>
      <c r="T414" s="1" t="s">
        <v>492</v>
      </c>
      <c r="U414" s="4">
        <v>-6700</v>
      </c>
      <c r="V414"/>
    </row>
    <row r="415" spans="19:22">
      <c r="S415" s="3">
        <v>44566</v>
      </c>
      <c r="T415" s="1" t="s">
        <v>458</v>
      </c>
      <c r="U415" s="4">
        <v>-17400</v>
      </c>
      <c r="V415"/>
    </row>
    <row r="416" spans="19:22">
      <c r="S416" s="3">
        <v>44565</v>
      </c>
      <c r="T416" s="1" t="s">
        <v>709</v>
      </c>
      <c r="U416" s="4">
        <v>-10900</v>
      </c>
      <c r="V416"/>
    </row>
    <row r="417" spans="19:22">
      <c r="S417" s="3">
        <v>44565</v>
      </c>
      <c r="T417" s="1" t="s">
        <v>682</v>
      </c>
      <c r="U417" s="4">
        <v>116190</v>
      </c>
      <c r="V417"/>
    </row>
    <row r="418" spans="19:22">
      <c r="S418" s="3">
        <v>44564</v>
      </c>
      <c r="T418" s="1" t="s">
        <v>492</v>
      </c>
      <c r="U418" s="4">
        <v>-3900</v>
      </c>
      <c r="V418"/>
    </row>
    <row r="419" spans="19:22">
      <c r="S419" s="3">
        <v>44564</v>
      </c>
      <c r="T419" s="1" t="s">
        <v>675</v>
      </c>
      <c r="U419" s="4">
        <v>-33900</v>
      </c>
      <c r="V419"/>
    </row>
    <row r="420" spans="19:22">
      <c r="S420" s="3">
        <v>44564</v>
      </c>
      <c r="T420" s="1" t="s">
        <v>519</v>
      </c>
      <c r="U420" s="4">
        <v>-56100</v>
      </c>
      <c r="V420"/>
    </row>
    <row r="421" spans="19:22">
      <c r="S421" s="3">
        <v>44564</v>
      </c>
      <c r="T421" s="1" t="s">
        <v>28</v>
      </c>
      <c r="U421" s="4">
        <v>-6100</v>
      </c>
      <c r="V421"/>
    </row>
  </sheetData>
  <mergeCells count="5">
    <mergeCell ref="B2:C2"/>
    <mergeCell ref="E2:I2"/>
    <mergeCell ref="K2:N2"/>
    <mergeCell ref="P2:Q2"/>
    <mergeCell ref="S2:Y2"/>
  </mergeCells>
  <phoneticPr fontId="1" type="noConversion"/>
  <pageMargins left="0.7" right="0.7" top="0.75" bottom="0.75" header="0.3" footer="0.3"/>
  <pageSetup paperSize="9" orientation="portrait" horizontalDpi="4294967293" verticalDpi="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2"/>
  <sheetViews>
    <sheetView topLeftCell="A8" zoomScaleNormal="100" workbookViewId="0">
      <selection activeCell="G7" sqref="G7"/>
    </sheetView>
  </sheetViews>
  <sheetFormatPr defaultColWidth="9.140625" defaultRowHeight="13.5"/>
  <cols>
    <col min="1" max="1" width="14.42578125" style="1" customWidth="1"/>
    <col min="2" max="2" width="13.7109375" style="1" customWidth="1"/>
    <col min="3" max="5" width="16.28515625" style="1" customWidth="1"/>
    <col min="6" max="6" width="21.5703125" style="1" customWidth="1"/>
    <col min="7" max="11" width="16.28515625" style="1" customWidth="1"/>
    <col min="12" max="12" width="11.28515625" style="1" bestFit="1" customWidth="1"/>
    <col min="13" max="14" width="9.140625" style="1"/>
    <col min="15" max="15" width="15.28515625" style="1" customWidth="1"/>
    <col min="16" max="16" width="10.7109375" style="1" customWidth="1"/>
    <col min="17" max="17" width="9.140625" style="1"/>
    <col min="18" max="19" width="14.28515625" style="1" customWidth="1"/>
    <col min="20" max="16384" width="9.140625" style="1"/>
  </cols>
  <sheetData>
    <row r="1" spans="1:19" ht="2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9">
      <c r="A3" s="26" t="s">
        <v>1</v>
      </c>
      <c r="B3" s="27" t="s">
        <v>644</v>
      </c>
    </row>
    <row r="4" spans="1:19">
      <c r="A4" s="26" t="s">
        <v>2</v>
      </c>
      <c r="B4" s="27" t="s">
        <v>3</v>
      </c>
    </row>
    <row r="5" spans="1:19">
      <c r="A5" s="26" t="s">
        <v>4</v>
      </c>
      <c r="B5" s="28">
        <v>1000</v>
      </c>
    </row>
    <row r="6" spans="1:19">
      <c r="L6" s="4"/>
    </row>
    <row r="7" spans="1:19">
      <c r="A7" s="30" t="s">
        <v>5</v>
      </c>
      <c r="B7" s="31" t="s">
        <v>6</v>
      </c>
      <c r="C7" s="31" t="s">
        <v>7</v>
      </c>
      <c r="D7" s="31" t="s">
        <v>684</v>
      </c>
      <c r="E7" s="31" t="s">
        <v>685</v>
      </c>
      <c r="F7" s="31" t="s">
        <v>8</v>
      </c>
      <c r="G7" s="31" t="s">
        <v>686</v>
      </c>
      <c r="H7" s="31" t="s">
        <v>628</v>
      </c>
      <c r="I7" s="31" t="s">
        <v>530</v>
      </c>
      <c r="J7" s="31" t="s">
        <v>669</v>
      </c>
      <c r="K7" s="32" t="s">
        <v>651</v>
      </c>
      <c r="L7" s="3" t="str">
        <f>"마지막 업데이트 : "&amp;TEXT(MAX(A:A),"yyyy년 mm월 dd일")</f>
        <v>마지막 업데이트 : 2022년 05월 31일</v>
      </c>
      <c r="O7" s="1" t="s">
        <v>634</v>
      </c>
      <c r="P7" s="1" t="s">
        <v>633</v>
      </c>
      <c r="R7" s="1" t="s">
        <v>633</v>
      </c>
      <c r="S7" s="1" t="s">
        <v>530</v>
      </c>
    </row>
    <row r="8" spans="1:19">
      <c r="A8" s="21">
        <v>44564</v>
      </c>
      <c r="B8" s="20" t="s">
        <v>437</v>
      </c>
      <c r="C8" s="20" t="s">
        <v>527</v>
      </c>
      <c r="D8" s="22">
        <v>3900</v>
      </c>
      <c r="E8" s="22"/>
      <c r="F8" s="20" t="s">
        <v>492</v>
      </c>
      <c r="G8" s="22">
        <v>1500000</v>
      </c>
      <c r="H8" s="23" t="str" cm="1">
        <f t="array" ref="H8">IFERROR(INDEX(단어표[분류],MIN(IF(ISNUMBER(FIND(단어표[포함단어],표3[[#This Row],[내용]])),ROW(단어표[포함단어])-ROW(포함단어시작셀)+1,ROWS(단어표[포함단어])+1))),"")</f>
        <v>기타식료품</v>
      </c>
      <c r="I8" s="23" t="str">
        <f>VLOOKUP(H8,분류표[],2,0)</f>
        <v>식비</v>
      </c>
      <c r="J8" s="24">
        <f>A8</f>
        <v>44564</v>
      </c>
      <c r="K8" s="23">
        <f>HOUR(B8)</f>
        <v>0</v>
      </c>
      <c r="L8" s="4" cm="1">
        <f t="array" ref="L8">INDEX($G:G,MAX(IFERROR(MATCH("*",$G:G,-1),0),IFERROR(MATCH(9E+307,$G:G,1),0)))</f>
        <v>1361690</v>
      </c>
      <c r="O8" s="1" t="s">
        <v>541</v>
      </c>
      <c r="P8" s="1" t="s">
        <v>627</v>
      </c>
      <c r="R8" s="1" t="s">
        <v>440</v>
      </c>
      <c r="S8" s="1" t="s">
        <v>506</v>
      </c>
    </row>
    <row r="9" spans="1:19">
      <c r="A9" s="21">
        <v>44564</v>
      </c>
      <c r="B9" s="20" t="s">
        <v>436</v>
      </c>
      <c r="C9" s="20" t="s">
        <v>529</v>
      </c>
      <c r="D9" s="22">
        <v>33900</v>
      </c>
      <c r="E9" s="22"/>
      <c r="F9" s="20" t="s">
        <v>597</v>
      </c>
      <c r="G9" s="22">
        <v>1466100</v>
      </c>
      <c r="H9" s="23" t="str" cm="1">
        <f t="array" ref="H9">IFERROR(INDEX(단어표[분류],MIN(IF(ISNUMBER(FIND(단어표[포함단어],표3[[#This Row],[내용]])),ROW(단어표[포함단어])-ROW(포함단어시작셀)+1,ROWS(단어표[포함단어])+1))),"")</f>
        <v>주식</v>
      </c>
      <c r="I9" s="23" t="str">
        <f>VLOOKUP(H9,분류표[],2,0)</f>
        <v>식비</v>
      </c>
      <c r="J9" s="24">
        <f t="shared" ref="J9:J72" si="0">A9</f>
        <v>44564</v>
      </c>
      <c r="K9" s="23">
        <f t="shared" ref="K9:K72" si="1">HOUR(B9)</f>
        <v>16</v>
      </c>
      <c r="O9" s="1" t="s">
        <v>486</v>
      </c>
      <c r="P9" s="1" t="s">
        <v>627</v>
      </c>
      <c r="R9" s="1" t="s">
        <v>570</v>
      </c>
      <c r="S9" s="1" t="s">
        <v>506</v>
      </c>
    </row>
    <row r="10" spans="1:19">
      <c r="A10" s="21">
        <v>44564</v>
      </c>
      <c r="B10" s="20" t="s">
        <v>435</v>
      </c>
      <c r="C10" s="20" t="s">
        <v>460</v>
      </c>
      <c r="D10" s="22">
        <v>56100</v>
      </c>
      <c r="E10" s="22"/>
      <c r="F10" s="20" t="s">
        <v>519</v>
      </c>
      <c r="G10" s="22">
        <v>1410000</v>
      </c>
      <c r="H10" s="23" t="str" cm="1">
        <f t="array" ref="H10">IFERROR(INDEX(단어표[분류],MIN(IF(ISNUMBER(FIND(단어표[포함단어],표3[[#This Row],[내용]])),ROW(단어표[포함단어])-ROW(포함단어시작셀)+1,ROWS(단어표[포함단어])+1))),"")</f>
        <v>스포츠</v>
      </c>
      <c r="I10" s="23" t="str">
        <f>VLOOKUP(H10,분류표[],2,0)</f>
        <v>문화생활비</v>
      </c>
      <c r="J10" s="24">
        <f t="shared" si="0"/>
        <v>44564</v>
      </c>
      <c r="K10" s="23">
        <f t="shared" si="1"/>
        <v>16</v>
      </c>
      <c r="O10" s="1" t="s">
        <v>533</v>
      </c>
      <c r="P10" s="1" t="s">
        <v>574</v>
      </c>
      <c r="R10" s="1" t="s">
        <v>567</v>
      </c>
      <c r="S10" s="1" t="s">
        <v>506</v>
      </c>
    </row>
    <row r="11" spans="1:19">
      <c r="A11" s="21">
        <v>44564</v>
      </c>
      <c r="B11" s="20" t="s">
        <v>434</v>
      </c>
      <c r="C11" s="20" t="s">
        <v>527</v>
      </c>
      <c r="D11" s="22">
        <v>6100</v>
      </c>
      <c r="E11" s="22"/>
      <c r="F11" s="20" t="s">
        <v>28</v>
      </c>
      <c r="G11" s="22">
        <v>1403900</v>
      </c>
      <c r="H11" s="23" t="str" cm="1">
        <f t="array" ref="H11">IFERROR(INDEX(단어표[분류],MIN(IF(ISNUMBER(FIND(단어표[포함단어],표3[[#This Row],[내용]])),ROW(단어표[포함단어])-ROW(포함단어시작셀)+1,ROWS(단어표[포함단어])+1))),"")</f>
        <v>주식</v>
      </c>
      <c r="I11" s="23" t="str">
        <f>VLOOKUP(H11,분류표[],2,0)</f>
        <v>식비</v>
      </c>
      <c r="J11" s="24">
        <f t="shared" si="0"/>
        <v>44564</v>
      </c>
      <c r="K11" s="23">
        <f t="shared" si="1"/>
        <v>20</v>
      </c>
      <c r="O11" s="1" t="s">
        <v>88</v>
      </c>
      <c r="P11" s="1" t="s">
        <v>595</v>
      </c>
      <c r="R11" s="1" t="s">
        <v>568</v>
      </c>
      <c r="S11" s="1" t="s">
        <v>506</v>
      </c>
    </row>
    <row r="12" spans="1:19">
      <c r="A12" s="21">
        <v>44565</v>
      </c>
      <c r="B12" s="20" t="s">
        <v>437</v>
      </c>
      <c r="C12" s="20" t="s">
        <v>642</v>
      </c>
      <c r="D12" s="22"/>
      <c r="E12" s="22">
        <v>116190</v>
      </c>
      <c r="F12" s="20" t="s">
        <v>643</v>
      </c>
      <c r="G12" s="22">
        <v>1520090</v>
      </c>
      <c r="H12" s="23" t="str" cm="1">
        <f t="array" ref="H12">IFERROR(INDEX(단어표[분류],MIN(IF(ISNUMBER(FIND(단어표[포함단어],표3[[#This Row],[내용]])),ROW(단어표[포함단어])-ROW(포함단어시작셀)+1,ROWS(단어표[포함단어])+1))),"")</f>
        <v>금융이익</v>
      </c>
      <c r="I12" s="23" t="str">
        <f>VLOOKUP(H12,분류표[],2,0)</f>
        <v>수입</v>
      </c>
      <c r="J12" s="24">
        <f t="shared" si="0"/>
        <v>44565</v>
      </c>
      <c r="K12" s="23">
        <f t="shared" si="1"/>
        <v>0</v>
      </c>
      <c r="O12" s="1" t="s">
        <v>534</v>
      </c>
      <c r="P12" s="1" t="s">
        <v>564</v>
      </c>
      <c r="R12" s="1" t="s">
        <v>569</v>
      </c>
      <c r="S12" s="1" t="s">
        <v>506</v>
      </c>
    </row>
    <row r="13" spans="1:19">
      <c r="A13" s="21">
        <v>44565</v>
      </c>
      <c r="B13" s="20" t="s">
        <v>433</v>
      </c>
      <c r="C13" s="20" t="s">
        <v>529</v>
      </c>
      <c r="D13" s="22">
        <v>10900</v>
      </c>
      <c r="E13" s="22"/>
      <c r="F13" s="20" t="s">
        <v>598</v>
      </c>
      <c r="G13" s="22">
        <v>1509190</v>
      </c>
      <c r="H13" s="23" t="str" cm="1">
        <f t="array" ref="H13">IFERROR(INDEX(단어표[분류],MIN(IF(ISNUMBER(FIND(단어표[포함단어],표3[[#This Row],[내용]])),ROW(단어표[포함단어])-ROW(포함단어시작셀)+1,ROWS(단어표[포함단어])+1))),"")</f>
        <v>주식</v>
      </c>
      <c r="I13" s="23" t="str">
        <f>VLOOKUP(H13,분류표[],2,0)</f>
        <v>식비</v>
      </c>
      <c r="J13" s="24">
        <f t="shared" si="0"/>
        <v>44565</v>
      </c>
      <c r="K13" s="23">
        <f t="shared" si="1"/>
        <v>18</v>
      </c>
      <c r="O13" s="1" t="s">
        <v>532</v>
      </c>
      <c r="P13" s="1" t="s">
        <v>564</v>
      </c>
      <c r="R13" s="1" t="s">
        <v>579</v>
      </c>
      <c r="S13" s="1" t="s">
        <v>580</v>
      </c>
    </row>
    <row r="14" spans="1:19">
      <c r="A14" s="21">
        <v>44566</v>
      </c>
      <c r="B14" s="20" t="s">
        <v>432</v>
      </c>
      <c r="C14" s="20" t="s">
        <v>527</v>
      </c>
      <c r="D14" s="22">
        <v>17400</v>
      </c>
      <c r="E14" s="22"/>
      <c r="F14" s="20" t="s">
        <v>458</v>
      </c>
      <c r="G14" s="22">
        <v>1491790</v>
      </c>
      <c r="H14" s="23" t="str" cm="1">
        <f t="array" ref="H14">IFERROR(INDEX(단어표[분류],MIN(IF(ISNUMBER(FIND(단어표[포함단어],표3[[#This Row],[내용]])),ROW(단어표[포함단어])-ROW(포함단어시작셀)+1,ROWS(단어표[포함단어])+1))),"")</f>
        <v>교통비</v>
      </c>
      <c r="I14" s="23" t="str">
        <f>VLOOKUP(H14,분류표[],2,0)</f>
        <v>교통비</v>
      </c>
      <c r="J14" s="24">
        <f t="shared" si="0"/>
        <v>44566</v>
      </c>
      <c r="K14" s="23">
        <f t="shared" si="1"/>
        <v>18</v>
      </c>
      <c r="O14" s="1" t="s">
        <v>488</v>
      </c>
      <c r="P14" s="1" t="s">
        <v>489</v>
      </c>
      <c r="R14" s="1" t="s">
        <v>578</v>
      </c>
      <c r="S14" s="1" t="s">
        <v>580</v>
      </c>
    </row>
    <row r="15" spans="1:19">
      <c r="A15" s="21">
        <v>44566</v>
      </c>
      <c r="B15" s="20" t="s">
        <v>431</v>
      </c>
      <c r="C15" s="20" t="s">
        <v>527</v>
      </c>
      <c r="D15" s="22">
        <v>6700</v>
      </c>
      <c r="E15" s="22"/>
      <c r="F15" s="20" t="s">
        <v>492</v>
      </c>
      <c r="G15" s="22">
        <v>1485090</v>
      </c>
      <c r="H15" s="23" t="str" cm="1">
        <f t="array" ref="H15">IFERROR(INDEX(단어표[분류],MIN(IF(ISNUMBER(FIND(단어표[포함단어],표3[[#This Row],[내용]])),ROW(단어표[포함단어])-ROW(포함단어시작셀)+1,ROWS(단어표[포함단어])+1))),"")</f>
        <v>기타식료품</v>
      </c>
      <c r="I15" s="23" t="str">
        <f>VLOOKUP(H15,분류표[],2,0)</f>
        <v>식비</v>
      </c>
      <c r="J15" s="24">
        <f t="shared" si="0"/>
        <v>44566</v>
      </c>
      <c r="K15" s="23">
        <f t="shared" si="1"/>
        <v>19</v>
      </c>
      <c r="O15" s="1" t="s">
        <v>538</v>
      </c>
      <c r="P15" s="1" t="s">
        <v>440</v>
      </c>
      <c r="R15" s="1" t="s">
        <v>443</v>
      </c>
      <c r="S15" s="1" t="s">
        <v>443</v>
      </c>
    </row>
    <row r="16" spans="1:19">
      <c r="A16" s="21">
        <v>44567</v>
      </c>
      <c r="B16" s="20" t="s">
        <v>430</v>
      </c>
      <c r="C16" s="20" t="s">
        <v>527</v>
      </c>
      <c r="D16" s="22">
        <v>5400</v>
      </c>
      <c r="E16" s="22"/>
      <c r="F16" s="20" t="s">
        <v>448</v>
      </c>
      <c r="G16" s="22">
        <v>1479690</v>
      </c>
      <c r="H16" s="23" t="str" cm="1">
        <f t="array" ref="H16">IFERROR(INDEX(단어표[분류],MIN(IF(ISNUMBER(FIND(단어표[포함단어],표3[[#This Row],[내용]])),ROW(단어표[포함단어])-ROW(포함단어시작셀)+1,ROWS(단어표[포함단어])+1))),"")</f>
        <v>주식</v>
      </c>
      <c r="I16" s="23" t="str">
        <f>VLOOKUP(H16,분류표[],2,0)</f>
        <v>식비</v>
      </c>
      <c r="J16" s="24">
        <f t="shared" si="0"/>
        <v>44567</v>
      </c>
      <c r="K16" s="23">
        <f t="shared" si="1"/>
        <v>9</v>
      </c>
      <c r="O16" s="1" t="s">
        <v>539</v>
      </c>
      <c r="P16" s="1" t="s">
        <v>578</v>
      </c>
      <c r="R16" s="1" t="s">
        <v>592</v>
      </c>
      <c r="S16" s="1" t="s">
        <v>593</v>
      </c>
    </row>
    <row r="17" spans="1:19">
      <c r="A17" s="21">
        <v>44568</v>
      </c>
      <c r="B17" s="20" t="s">
        <v>429</v>
      </c>
      <c r="C17" s="20" t="s">
        <v>527</v>
      </c>
      <c r="D17" s="22">
        <v>8800</v>
      </c>
      <c r="E17" s="22"/>
      <c r="F17" s="20" t="s">
        <v>497</v>
      </c>
      <c r="G17" s="22">
        <v>1470890</v>
      </c>
      <c r="H17" s="23" t="str" cm="1">
        <f t="array" ref="H17">IFERROR(INDEX(단어표[분류],MIN(IF(ISNUMBER(FIND(단어표[포함단어],표3[[#This Row],[내용]])),ROW(단어표[포함단어])-ROW(포함단어시작셀)+1,ROWS(단어표[포함단어])+1))),"")</f>
        <v>주식</v>
      </c>
      <c r="I17" s="23" t="str">
        <f>VLOOKUP(H17,분류표[],2,0)</f>
        <v>식비</v>
      </c>
      <c r="J17" s="24">
        <f t="shared" si="0"/>
        <v>44568</v>
      </c>
      <c r="K17" s="23">
        <f t="shared" si="1"/>
        <v>20</v>
      </c>
      <c r="O17" s="1" t="s">
        <v>451</v>
      </c>
      <c r="P17" s="1" t="s">
        <v>583</v>
      </c>
      <c r="R17" s="1" t="s">
        <v>589</v>
      </c>
      <c r="S17" s="1" t="s">
        <v>593</v>
      </c>
    </row>
    <row r="18" spans="1:19">
      <c r="A18" s="21">
        <v>44568</v>
      </c>
      <c r="B18" s="20" t="s">
        <v>428</v>
      </c>
      <c r="C18" s="20" t="s">
        <v>527</v>
      </c>
      <c r="D18" s="22">
        <v>10400</v>
      </c>
      <c r="E18" s="22"/>
      <c r="F18" s="20" t="s">
        <v>452</v>
      </c>
      <c r="G18" s="22">
        <v>1460490</v>
      </c>
      <c r="H18" s="23" t="str" cm="1">
        <f t="array" ref="H18">IFERROR(INDEX(단어표[분류],MIN(IF(ISNUMBER(FIND(단어표[포함단어],표3[[#This Row],[내용]])),ROW(단어표[포함단어])-ROW(포함단어시작셀)+1,ROWS(단어표[포함단어])+1))),"")</f>
        <v>선물</v>
      </c>
      <c r="I18" s="23" t="str">
        <f>VLOOKUP(H18,분류표[],2,0)</f>
        <v>경조사비</v>
      </c>
      <c r="J18" s="24">
        <f t="shared" si="0"/>
        <v>44568</v>
      </c>
      <c r="K18" s="23">
        <f t="shared" si="1"/>
        <v>21</v>
      </c>
      <c r="O18" s="1" t="s">
        <v>540</v>
      </c>
      <c r="P18" s="1" t="s">
        <v>564</v>
      </c>
      <c r="R18" s="1" t="s">
        <v>590</v>
      </c>
      <c r="S18" s="1" t="s">
        <v>593</v>
      </c>
    </row>
    <row r="19" spans="1:19">
      <c r="A19" s="21">
        <v>44569</v>
      </c>
      <c r="B19" s="20" t="s">
        <v>427</v>
      </c>
      <c r="C19" s="20" t="s">
        <v>527</v>
      </c>
      <c r="D19" s="22">
        <v>7500</v>
      </c>
      <c r="E19" s="22"/>
      <c r="F19" s="20" t="s">
        <v>492</v>
      </c>
      <c r="G19" s="22">
        <v>1452990</v>
      </c>
      <c r="H19" s="23" t="str" cm="1">
        <f t="array" ref="H19">IFERROR(INDEX(단어표[분류],MIN(IF(ISNUMBER(FIND(단어표[포함단어],표3[[#This Row],[내용]])),ROW(단어표[포함단어])-ROW(포함단어시작셀)+1,ROWS(단어표[포함단어])+1))),"")</f>
        <v>기타식료품</v>
      </c>
      <c r="I19" s="23" t="str">
        <f>VLOOKUP(H19,분류표[],2,0)</f>
        <v>식비</v>
      </c>
      <c r="J19" s="24">
        <f t="shared" si="0"/>
        <v>44569</v>
      </c>
      <c r="K19" s="23">
        <f t="shared" si="1"/>
        <v>2</v>
      </c>
      <c r="O19" s="1" t="s">
        <v>511</v>
      </c>
      <c r="P19" s="1" t="s">
        <v>512</v>
      </c>
      <c r="R19" s="1" t="s">
        <v>591</v>
      </c>
      <c r="S19" s="1" t="s">
        <v>593</v>
      </c>
    </row>
    <row r="20" spans="1:19">
      <c r="A20" s="21">
        <v>44569</v>
      </c>
      <c r="B20" s="20" t="s">
        <v>319</v>
      </c>
      <c r="C20" s="20" t="s">
        <v>527</v>
      </c>
      <c r="D20" s="22">
        <v>12200</v>
      </c>
      <c r="E20" s="22"/>
      <c r="F20" s="20" t="s">
        <v>31</v>
      </c>
      <c r="G20" s="22">
        <v>1440790</v>
      </c>
      <c r="H20" s="23" t="str" cm="1">
        <f t="array" ref="H20">IFERROR(INDEX(단어표[분류],MIN(IF(ISNUMBER(FIND(단어표[포함단어],표3[[#This Row],[내용]])),ROW(단어표[포함단어])-ROW(포함단어시작셀)+1,ROWS(단어표[포함단어])+1))),"")</f>
        <v>구독서비스</v>
      </c>
      <c r="I20" s="23" t="str">
        <f>VLOOKUP(H20,분류표[],2,0)</f>
        <v>생활비</v>
      </c>
      <c r="J20" s="24">
        <f t="shared" si="0"/>
        <v>44569</v>
      </c>
      <c r="K20" s="23">
        <f t="shared" si="1"/>
        <v>8</v>
      </c>
      <c r="O20" s="1" t="s">
        <v>535</v>
      </c>
      <c r="P20" s="1" t="s">
        <v>564</v>
      </c>
      <c r="R20" s="1" t="s">
        <v>588</v>
      </c>
      <c r="S20" s="1" t="s">
        <v>593</v>
      </c>
    </row>
    <row r="21" spans="1:19">
      <c r="A21" s="21">
        <v>44569</v>
      </c>
      <c r="B21" s="20" t="s">
        <v>426</v>
      </c>
      <c r="C21" s="20" t="s">
        <v>527</v>
      </c>
      <c r="D21" s="22">
        <v>5600</v>
      </c>
      <c r="E21" s="22"/>
      <c r="F21" s="20" t="s">
        <v>516</v>
      </c>
      <c r="G21" s="22">
        <v>1435190</v>
      </c>
      <c r="H21" s="23" t="str" cm="1">
        <f t="array" ref="H21">IFERROR(INDEX(단어표[분류],MIN(IF(ISNUMBER(FIND(단어표[포함단어],표3[[#This Row],[내용]])),ROW(단어표[포함단어])-ROW(포함단어시작셀)+1,ROWS(단어표[포함단어])+1))),"")</f>
        <v>주식</v>
      </c>
      <c r="I21" s="23" t="str">
        <f>VLOOKUP(H21,분류표[],2,0)</f>
        <v>식비</v>
      </c>
      <c r="J21" s="24">
        <f t="shared" si="0"/>
        <v>44569</v>
      </c>
      <c r="K21" s="23">
        <f t="shared" si="1"/>
        <v>15</v>
      </c>
      <c r="O21" s="1" t="s">
        <v>536</v>
      </c>
      <c r="P21" s="1" t="s">
        <v>564</v>
      </c>
      <c r="R21" s="1" t="s">
        <v>489</v>
      </c>
      <c r="S21" s="1" t="s">
        <v>573</v>
      </c>
    </row>
    <row r="22" spans="1:19">
      <c r="A22" s="21">
        <v>44569</v>
      </c>
      <c r="B22" s="20" t="s">
        <v>425</v>
      </c>
      <c r="C22" s="20" t="s">
        <v>527</v>
      </c>
      <c r="D22" s="22">
        <v>6800</v>
      </c>
      <c r="E22" s="22"/>
      <c r="F22" s="20" t="s">
        <v>455</v>
      </c>
      <c r="G22" s="22">
        <v>1428390</v>
      </c>
      <c r="H22" s="23" t="str" cm="1">
        <f t="array" ref="H22">IFERROR(INDEX(단어표[분류],MIN(IF(ISNUMBER(FIND(단어표[포함단어],표3[[#This Row],[내용]])),ROW(단어표[포함단어])-ROW(포함단어시작셀)+1,ROWS(단어표[포함단어])+1))),"")</f>
        <v>주식</v>
      </c>
      <c r="I22" s="23" t="str">
        <f>VLOOKUP(H22,분류표[],2,0)</f>
        <v>식비</v>
      </c>
      <c r="J22" s="24">
        <f t="shared" si="0"/>
        <v>44569</v>
      </c>
      <c r="K22" s="23">
        <f t="shared" si="1"/>
        <v>19</v>
      </c>
      <c r="O22" s="1" t="s">
        <v>464</v>
      </c>
      <c r="P22" s="1" t="s">
        <v>564</v>
      </c>
      <c r="R22" s="1" t="s">
        <v>572</v>
      </c>
      <c r="S22" s="1" t="s">
        <v>573</v>
      </c>
    </row>
    <row r="23" spans="1:19">
      <c r="A23" s="21">
        <v>44569</v>
      </c>
      <c r="B23" s="20" t="s">
        <v>424</v>
      </c>
      <c r="C23" s="20" t="s">
        <v>527</v>
      </c>
      <c r="D23" s="22">
        <v>56500</v>
      </c>
      <c r="E23" s="22"/>
      <c r="F23" s="20" t="s">
        <v>511</v>
      </c>
      <c r="G23" s="22">
        <v>1371890</v>
      </c>
      <c r="H23" s="23" t="str" cm="1">
        <f t="array" ref="H23">IFERROR(INDEX(단어표[분류],MIN(IF(ISNUMBER(FIND(단어표[포함단어],표3[[#This Row],[내용]])),ROW(단어표[포함단어])-ROW(포함단어시작셀)+1,ROWS(단어표[포함단어])+1))),"")</f>
        <v>도시가스</v>
      </c>
      <c r="I23" s="23" t="str">
        <f>VLOOKUP(H23,분류표[],2,0)</f>
        <v>주거/공과금</v>
      </c>
      <c r="J23" s="24">
        <f t="shared" si="0"/>
        <v>44569</v>
      </c>
      <c r="K23" s="23">
        <f t="shared" si="1"/>
        <v>23</v>
      </c>
      <c r="O23" s="1" t="s">
        <v>455</v>
      </c>
      <c r="P23" s="1" t="s">
        <v>564</v>
      </c>
      <c r="R23" s="1" t="s">
        <v>571</v>
      </c>
      <c r="S23" s="1" t="s">
        <v>573</v>
      </c>
    </row>
    <row r="24" spans="1:19">
      <c r="A24" s="21">
        <v>44569</v>
      </c>
      <c r="B24" s="20" t="s">
        <v>423</v>
      </c>
      <c r="C24" s="20" t="s">
        <v>527</v>
      </c>
      <c r="D24" s="22">
        <v>4400</v>
      </c>
      <c r="E24" s="22"/>
      <c r="F24" s="20" t="s">
        <v>492</v>
      </c>
      <c r="G24" s="22">
        <v>1367490</v>
      </c>
      <c r="H24" s="23" t="str" cm="1">
        <f t="array" ref="H24">IFERROR(INDEX(단어표[분류],MIN(IF(ISNUMBER(FIND(단어표[포함단어],표3[[#This Row],[내용]])),ROW(단어표[포함단어])-ROW(포함단어시작셀)+1,ROWS(단어표[포함단어])+1))),"")</f>
        <v>기타식료품</v>
      </c>
      <c r="I24" s="23" t="str">
        <f>VLOOKUP(H24,분류표[],2,0)</f>
        <v>식비</v>
      </c>
      <c r="J24" s="24">
        <f t="shared" si="0"/>
        <v>44569</v>
      </c>
      <c r="K24" s="23">
        <f t="shared" si="1"/>
        <v>23</v>
      </c>
      <c r="O24" s="1" t="s">
        <v>544</v>
      </c>
      <c r="P24" s="1" t="s">
        <v>590</v>
      </c>
      <c r="R24" s="1" t="s">
        <v>447</v>
      </c>
      <c r="S24" s="1" t="s">
        <v>626</v>
      </c>
    </row>
    <row r="25" spans="1:19">
      <c r="A25" s="21">
        <v>44570</v>
      </c>
      <c r="B25" s="20" t="s">
        <v>422</v>
      </c>
      <c r="C25" s="20" t="s">
        <v>527</v>
      </c>
      <c r="D25" s="22">
        <v>5900</v>
      </c>
      <c r="E25" s="22"/>
      <c r="F25" s="20" t="s">
        <v>464</v>
      </c>
      <c r="G25" s="22">
        <v>1361590</v>
      </c>
      <c r="H25" s="23" t="str" cm="1">
        <f t="array" ref="H25">IFERROR(INDEX(단어표[분류],MIN(IF(ISNUMBER(FIND(단어표[포함단어],표3[[#This Row],[내용]])),ROW(단어표[포함단어])-ROW(포함단어시작셀)+1,ROWS(단어표[포함단어])+1))),"")</f>
        <v>주식</v>
      </c>
      <c r="I25" s="23" t="str">
        <f>VLOOKUP(H25,분류표[],2,0)</f>
        <v>식비</v>
      </c>
      <c r="J25" s="24">
        <f t="shared" si="0"/>
        <v>44570</v>
      </c>
      <c r="K25" s="23">
        <f t="shared" si="1"/>
        <v>22</v>
      </c>
      <c r="O25" s="1" t="s">
        <v>537</v>
      </c>
      <c r="P25" s="1" t="s">
        <v>564</v>
      </c>
      <c r="R25" s="1" t="s">
        <v>627</v>
      </c>
      <c r="S25" s="1" t="s">
        <v>626</v>
      </c>
    </row>
    <row r="26" spans="1:19">
      <c r="A26" s="21">
        <v>44571</v>
      </c>
      <c r="B26" s="20" t="s">
        <v>66</v>
      </c>
      <c r="C26" s="20" t="s">
        <v>527</v>
      </c>
      <c r="D26" s="22">
        <v>2000</v>
      </c>
      <c r="E26" s="22"/>
      <c r="F26" s="20" t="s">
        <v>31</v>
      </c>
      <c r="G26" s="22">
        <v>1359590</v>
      </c>
      <c r="H26" s="23" t="str" cm="1">
        <f t="array" ref="H26">IFERROR(INDEX(단어표[분류],MIN(IF(ISNUMBER(FIND(단어표[포함단어],표3[[#This Row],[내용]])),ROW(단어표[포함단어])-ROW(포함단어시작셀)+1,ROWS(단어표[포함단어])+1))),"")</f>
        <v>구독서비스</v>
      </c>
      <c r="I26" s="23" t="str">
        <f>VLOOKUP(H26,분류표[],2,0)</f>
        <v>생활비</v>
      </c>
      <c r="J26" s="24">
        <f t="shared" si="0"/>
        <v>44571</v>
      </c>
      <c r="K26" s="23">
        <f t="shared" si="1"/>
        <v>0</v>
      </c>
      <c r="O26" s="1" t="s">
        <v>466</v>
      </c>
      <c r="P26" s="1" t="s">
        <v>564</v>
      </c>
      <c r="R26" s="1" t="s">
        <v>596</v>
      </c>
      <c r="S26" s="1" t="s">
        <v>442</v>
      </c>
    </row>
    <row r="27" spans="1:19">
      <c r="A27" s="21">
        <v>44571</v>
      </c>
      <c r="B27" s="20" t="s">
        <v>421</v>
      </c>
      <c r="C27" s="20" t="s">
        <v>527</v>
      </c>
      <c r="D27" s="22">
        <v>7800</v>
      </c>
      <c r="E27" s="22"/>
      <c r="F27" s="20" t="s">
        <v>472</v>
      </c>
      <c r="G27" s="22">
        <v>1351790</v>
      </c>
      <c r="H27" s="23" t="str" cm="1">
        <f t="array" ref="H27">IFERROR(INDEX(단어표[분류],MIN(IF(ISNUMBER(FIND(단어표[포함단어],표3[[#This Row],[내용]])),ROW(단어표[포함단어])-ROW(포함단어시작셀)+1,ROWS(단어표[포함단어])+1))),"")</f>
        <v>주식</v>
      </c>
      <c r="I27" s="23" t="str">
        <f>VLOOKUP(H27,분류표[],2,0)</f>
        <v>식비</v>
      </c>
      <c r="J27" s="24">
        <f t="shared" si="0"/>
        <v>44571</v>
      </c>
      <c r="K27" s="23">
        <f t="shared" si="1"/>
        <v>15</v>
      </c>
      <c r="O27" s="1" t="s">
        <v>471</v>
      </c>
      <c r="P27" s="1" t="s">
        <v>564</v>
      </c>
      <c r="R27" s="1" t="s">
        <v>586</v>
      </c>
      <c r="S27" s="1" t="s">
        <v>442</v>
      </c>
    </row>
    <row r="28" spans="1:19">
      <c r="A28" s="21">
        <v>44571</v>
      </c>
      <c r="B28" s="20" t="s">
        <v>420</v>
      </c>
      <c r="C28" s="20" t="s">
        <v>529</v>
      </c>
      <c r="D28" s="22">
        <v>9500</v>
      </c>
      <c r="E28" s="22"/>
      <c r="F28" s="20" t="s">
        <v>479</v>
      </c>
      <c r="G28" s="22">
        <v>1342290</v>
      </c>
      <c r="H28" s="23" t="str" cm="1">
        <f t="array" ref="H28">IFERROR(INDEX(단어표[분류],MIN(IF(ISNUMBER(FIND(단어표[포함단어],표3[[#This Row],[내용]])),ROW(단어표[포함단어])-ROW(포함단어시작셀)+1,ROWS(단어표[포함단어])+1))),"")</f>
        <v>주식</v>
      </c>
      <c r="I28" s="23" t="str">
        <f>VLOOKUP(H28,분류표[],2,0)</f>
        <v>식비</v>
      </c>
      <c r="J28" s="24">
        <f t="shared" si="0"/>
        <v>44571</v>
      </c>
      <c r="K28" s="23">
        <f t="shared" si="1"/>
        <v>18</v>
      </c>
      <c r="O28" s="1" t="s">
        <v>487</v>
      </c>
      <c r="P28" s="1" t="s">
        <v>571</v>
      </c>
      <c r="R28" s="1" t="s">
        <v>585</v>
      </c>
      <c r="S28" s="1" t="s">
        <v>442</v>
      </c>
    </row>
    <row r="29" spans="1:19">
      <c r="A29" s="21">
        <v>44571</v>
      </c>
      <c r="B29" s="20" t="s">
        <v>419</v>
      </c>
      <c r="C29" s="20" t="s">
        <v>527</v>
      </c>
      <c r="D29" s="22">
        <v>15300</v>
      </c>
      <c r="E29" s="22"/>
      <c r="F29" s="20" t="s">
        <v>492</v>
      </c>
      <c r="G29" s="22">
        <v>1326990</v>
      </c>
      <c r="H29" s="23" t="str" cm="1">
        <f t="array" ref="H29">IFERROR(INDEX(단어표[분류],MIN(IF(ISNUMBER(FIND(단어표[포함단어],표3[[#This Row],[내용]])),ROW(단어표[포함단어])-ROW(포함단어시작셀)+1,ROWS(단어표[포함단어])+1))),"")</f>
        <v>기타식료품</v>
      </c>
      <c r="I29" s="23" t="str">
        <f>VLOOKUP(H29,분류표[],2,0)</f>
        <v>식비</v>
      </c>
      <c r="J29" s="24">
        <f t="shared" si="0"/>
        <v>44571</v>
      </c>
      <c r="K29" s="23">
        <f t="shared" si="1"/>
        <v>21</v>
      </c>
      <c r="O29" s="1" t="s">
        <v>545</v>
      </c>
      <c r="P29" s="1" t="s">
        <v>590</v>
      </c>
      <c r="R29" s="1" t="s">
        <v>582</v>
      </c>
      <c r="S29" s="1" t="s">
        <v>442</v>
      </c>
    </row>
    <row r="30" spans="1:19">
      <c r="A30" s="21">
        <v>44572</v>
      </c>
      <c r="B30" s="20" t="s">
        <v>418</v>
      </c>
      <c r="C30" s="20" t="s">
        <v>529</v>
      </c>
      <c r="D30" s="22">
        <v>21400</v>
      </c>
      <c r="E30" s="22"/>
      <c r="F30" s="20" t="s">
        <v>599</v>
      </c>
      <c r="G30" s="22">
        <v>1305590</v>
      </c>
      <c r="H30" s="23" t="str" cm="1">
        <f t="array" ref="H30">IFERROR(INDEX(단어표[분류],MIN(IF(ISNUMBER(FIND(단어표[포함단어],표3[[#This Row],[내용]])),ROW(단어표[포함단어])-ROW(포함단어시작셀)+1,ROWS(단어표[포함단어])+1))),"")</f>
        <v>주식</v>
      </c>
      <c r="I30" s="23" t="str">
        <f>VLOOKUP(H30,분류표[],2,0)</f>
        <v>식비</v>
      </c>
      <c r="J30" s="24">
        <f t="shared" si="0"/>
        <v>44572</v>
      </c>
      <c r="K30" s="23">
        <f t="shared" si="1"/>
        <v>18</v>
      </c>
      <c r="O30" s="1" t="s">
        <v>546</v>
      </c>
      <c r="P30" s="1" t="s">
        <v>590</v>
      </c>
      <c r="R30" s="1" t="s">
        <v>583</v>
      </c>
      <c r="S30" s="1" t="s">
        <v>442</v>
      </c>
    </row>
    <row r="31" spans="1:19">
      <c r="A31" s="21">
        <v>44573</v>
      </c>
      <c r="B31" s="20" t="s">
        <v>417</v>
      </c>
      <c r="C31" s="20" t="s">
        <v>527</v>
      </c>
      <c r="D31" s="22">
        <v>2900</v>
      </c>
      <c r="E31" s="22"/>
      <c r="F31" s="20" t="s">
        <v>496</v>
      </c>
      <c r="G31" s="22">
        <v>1302690</v>
      </c>
      <c r="H31" s="23" t="str" cm="1">
        <f t="array" ref="H31">IFERROR(INDEX(단어표[분류],MIN(IF(ISNUMBER(FIND(단어표[포함단어],표3[[#This Row],[내용]])),ROW(단어표[포함단어])-ROW(포함단어시작셀)+1,ROWS(단어표[포함단어])+1))),"")</f>
        <v>기타생활비</v>
      </c>
      <c r="I31" s="23" t="str">
        <f>VLOOKUP(H31,분류표[],2,0)</f>
        <v>생활비</v>
      </c>
      <c r="J31" s="24">
        <f t="shared" si="0"/>
        <v>44573</v>
      </c>
      <c r="K31" s="23">
        <f t="shared" si="1"/>
        <v>9</v>
      </c>
      <c r="O31" s="1" t="s">
        <v>514</v>
      </c>
      <c r="P31" s="1" t="s">
        <v>438</v>
      </c>
      <c r="R31" s="1" t="s">
        <v>595</v>
      </c>
      <c r="S31" s="1" t="s">
        <v>442</v>
      </c>
    </row>
    <row r="32" spans="1:19">
      <c r="A32" s="21">
        <v>44573</v>
      </c>
      <c r="B32" s="20" t="s">
        <v>416</v>
      </c>
      <c r="C32" s="20" t="s">
        <v>527</v>
      </c>
      <c r="D32" s="22">
        <v>13800</v>
      </c>
      <c r="E32" s="22"/>
      <c r="F32" s="20" t="s">
        <v>311</v>
      </c>
      <c r="G32" s="22">
        <v>1288890</v>
      </c>
      <c r="H32" s="23" t="str" cm="1">
        <f t="array" ref="H32">IFERROR(INDEX(단어표[분류],MIN(IF(ISNUMBER(FIND(단어표[포함단어],표3[[#This Row],[내용]])),ROW(단어표[포함단어])-ROW(포함단어시작셀)+1,ROWS(단어표[포함단어])+1))),"")</f>
        <v>생활용품</v>
      </c>
      <c r="I32" s="23" t="str">
        <f>VLOOKUP(H32,분류표[],2,0)</f>
        <v>생활비</v>
      </c>
      <c r="J32" s="24">
        <f t="shared" si="0"/>
        <v>44573</v>
      </c>
      <c r="K32" s="23">
        <f t="shared" si="1"/>
        <v>18</v>
      </c>
      <c r="O32" s="1" t="s">
        <v>542</v>
      </c>
      <c r="P32" s="1" t="s">
        <v>564</v>
      </c>
      <c r="R32" s="1" t="s">
        <v>581</v>
      </c>
      <c r="S32" s="1" t="s">
        <v>442</v>
      </c>
    </row>
    <row r="33" spans="1:19">
      <c r="A33" s="21">
        <v>44573</v>
      </c>
      <c r="B33" s="20" t="s">
        <v>415</v>
      </c>
      <c r="C33" s="20" t="s">
        <v>527</v>
      </c>
      <c r="D33" s="22">
        <v>5800</v>
      </c>
      <c r="E33" s="22"/>
      <c r="F33" s="20" t="s">
        <v>456</v>
      </c>
      <c r="G33" s="22">
        <v>1283090</v>
      </c>
      <c r="H33" s="23" t="str" cm="1">
        <f t="array" ref="H33">IFERROR(INDEX(단어표[분류],MIN(IF(ISNUMBER(FIND(단어표[포함단어],표3[[#This Row],[내용]])),ROW(단어표[포함단어])-ROW(포함단어시작셀)+1,ROWS(단어표[포함단어])+1))),"")</f>
        <v>간식</v>
      </c>
      <c r="I33" s="23" t="str">
        <f>VLOOKUP(H33,분류표[],2,0)</f>
        <v>식비</v>
      </c>
      <c r="J33" s="24">
        <f t="shared" si="0"/>
        <v>44573</v>
      </c>
      <c r="K33" s="23">
        <f t="shared" si="1"/>
        <v>19</v>
      </c>
      <c r="O33" s="1" t="s">
        <v>547</v>
      </c>
      <c r="P33" s="1" t="s">
        <v>583</v>
      </c>
      <c r="R33" s="1" t="s">
        <v>584</v>
      </c>
      <c r="S33" s="1" t="s">
        <v>442</v>
      </c>
    </row>
    <row r="34" spans="1:19">
      <c r="A34" s="21">
        <v>44573</v>
      </c>
      <c r="B34" s="20" t="s">
        <v>414</v>
      </c>
      <c r="C34" s="20" t="s">
        <v>527</v>
      </c>
      <c r="D34" s="22">
        <v>5800</v>
      </c>
      <c r="E34" s="22"/>
      <c r="F34" s="20" t="s">
        <v>492</v>
      </c>
      <c r="G34" s="22">
        <v>1277290</v>
      </c>
      <c r="H34" s="23" t="str" cm="1">
        <f t="array" ref="H34">IFERROR(INDEX(단어표[분류],MIN(IF(ISNUMBER(FIND(단어표[포함단어],표3[[#This Row],[내용]])),ROW(단어표[포함단어])-ROW(포함단어시작셀)+1,ROWS(단어표[포함단어])+1))),"")</f>
        <v>기타식료품</v>
      </c>
      <c r="I34" s="23" t="str">
        <f>VLOOKUP(H34,분류표[],2,0)</f>
        <v>식비</v>
      </c>
      <c r="J34" s="24">
        <f t="shared" si="0"/>
        <v>44573</v>
      </c>
      <c r="K34" s="23">
        <f t="shared" si="1"/>
        <v>22</v>
      </c>
      <c r="O34" s="1" t="s">
        <v>504</v>
      </c>
      <c r="P34" s="1" t="s">
        <v>438</v>
      </c>
      <c r="R34" s="1" t="s">
        <v>622</v>
      </c>
      <c r="S34" s="1" t="s">
        <v>667</v>
      </c>
    </row>
    <row r="35" spans="1:19">
      <c r="A35" s="21">
        <v>44574</v>
      </c>
      <c r="B35" s="20" t="s">
        <v>413</v>
      </c>
      <c r="C35" s="20" t="s">
        <v>527</v>
      </c>
      <c r="D35" s="22">
        <v>3000</v>
      </c>
      <c r="E35" s="22"/>
      <c r="F35" s="20" t="s">
        <v>450</v>
      </c>
      <c r="G35" s="22">
        <v>1274290</v>
      </c>
      <c r="H35" s="23" t="str" cm="1">
        <f t="array" ref="H35">IFERROR(INDEX(단어표[분류],MIN(IF(ISNUMBER(FIND(단어표[포함단어],표3[[#This Row],[내용]])),ROW(단어표[포함단어])-ROW(포함단어시작셀)+1,ROWS(단어표[포함단어])+1))),"")</f>
        <v>기타생활비</v>
      </c>
      <c r="I35" s="23" t="str">
        <f>VLOOKUP(H35,분류표[],2,0)</f>
        <v>생활비</v>
      </c>
      <c r="J35" s="24">
        <f t="shared" si="0"/>
        <v>44574</v>
      </c>
      <c r="K35" s="23">
        <f t="shared" si="1"/>
        <v>17</v>
      </c>
      <c r="O35" s="1" t="s">
        <v>543</v>
      </c>
      <c r="P35" s="1" t="s">
        <v>620</v>
      </c>
      <c r="R35" s="1" t="s">
        <v>623</v>
      </c>
      <c r="S35" s="1" t="s">
        <v>667</v>
      </c>
    </row>
    <row r="36" spans="1:19">
      <c r="A36" s="21">
        <v>44574</v>
      </c>
      <c r="B36" s="20" t="s">
        <v>412</v>
      </c>
      <c r="C36" s="20" t="s">
        <v>527</v>
      </c>
      <c r="D36" s="22">
        <v>100</v>
      </c>
      <c r="E36" s="22"/>
      <c r="F36" s="20" t="s">
        <v>450</v>
      </c>
      <c r="G36" s="22">
        <v>1274190</v>
      </c>
      <c r="H36" s="23" t="str" cm="1">
        <f t="array" ref="H36">IFERROR(INDEX(단어표[분류],MIN(IF(ISNUMBER(FIND(단어표[포함단어],표3[[#This Row],[내용]])),ROW(단어표[포함단어])-ROW(포함단어시작셀)+1,ROWS(단어표[포함단어])+1))),"")</f>
        <v>기타생활비</v>
      </c>
      <c r="I36" s="23" t="str">
        <f>VLOOKUP(H36,분류표[],2,0)</f>
        <v>생활비</v>
      </c>
      <c r="J36" s="24">
        <f t="shared" si="0"/>
        <v>44574</v>
      </c>
      <c r="K36" s="23">
        <f t="shared" si="1"/>
        <v>17</v>
      </c>
      <c r="O36" s="1" t="s">
        <v>548</v>
      </c>
      <c r="P36" s="1" t="s">
        <v>564</v>
      </c>
      <c r="R36" s="1" t="s">
        <v>624</v>
      </c>
      <c r="S36" s="1" t="s">
        <v>667</v>
      </c>
    </row>
    <row r="37" spans="1:19">
      <c r="A37" s="21">
        <v>44574</v>
      </c>
      <c r="B37" s="20" t="s">
        <v>411</v>
      </c>
      <c r="C37" s="20" t="s">
        <v>527</v>
      </c>
      <c r="D37" s="22">
        <v>7200</v>
      </c>
      <c r="E37" s="22"/>
      <c r="F37" s="20" t="s">
        <v>451</v>
      </c>
      <c r="G37" s="22">
        <v>1266990</v>
      </c>
      <c r="H37" s="23" t="str" cm="1">
        <f t="array" ref="H37">IFERROR(INDEX(단어표[분류],MIN(IF(ISNUMBER(FIND(단어표[포함단어],표3[[#This Row],[내용]])),ROW(단어표[포함단어])-ROW(포함단어시작셀)+1,ROWS(단어표[포함단어])+1))),"")</f>
        <v>생활용품</v>
      </c>
      <c r="I37" s="23" t="str">
        <f>VLOOKUP(H37,분류표[],2,0)</f>
        <v>생활비</v>
      </c>
      <c r="J37" s="24">
        <f t="shared" si="0"/>
        <v>44574</v>
      </c>
      <c r="K37" s="23">
        <f t="shared" si="1"/>
        <v>17</v>
      </c>
      <c r="O37" s="1" t="s">
        <v>550</v>
      </c>
      <c r="P37" s="1" t="s">
        <v>596</v>
      </c>
      <c r="R37" s="1" t="s">
        <v>625</v>
      </c>
      <c r="S37" s="1" t="s">
        <v>667</v>
      </c>
    </row>
    <row r="38" spans="1:19">
      <c r="A38" s="21">
        <v>44574</v>
      </c>
      <c r="B38" s="20" t="s">
        <v>410</v>
      </c>
      <c r="C38" s="20" t="s">
        <v>529</v>
      </c>
      <c r="D38" s="22">
        <v>800</v>
      </c>
      <c r="E38" s="22"/>
      <c r="F38" s="20" t="s">
        <v>451</v>
      </c>
      <c r="G38" s="22">
        <v>1266190</v>
      </c>
      <c r="H38" s="23" t="str" cm="1">
        <f t="array" ref="H38">IFERROR(INDEX(단어표[분류],MIN(IF(ISNUMBER(FIND(단어표[포함단어],표3[[#This Row],[내용]])),ROW(단어표[포함단어])-ROW(포함단어시작셀)+1,ROWS(단어표[포함단어])+1))),"")</f>
        <v>생활용품</v>
      </c>
      <c r="I38" s="23" t="str">
        <f>VLOOKUP(H38,분류표[],2,0)</f>
        <v>생활비</v>
      </c>
      <c r="J38" s="24">
        <f t="shared" si="0"/>
        <v>44574</v>
      </c>
      <c r="K38" s="23">
        <f t="shared" si="1"/>
        <v>17</v>
      </c>
      <c r="O38" s="1" t="s">
        <v>549</v>
      </c>
      <c r="P38" s="1" t="s">
        <v>621</v>
      </c>
      <c r="R38" s="1" t="s">
        <v>563</v>
      </c>
      <c r="S38" s="1" t="s">
        <v>441</v>
      </c>
    </row>
    <row r="39" spans="1:19">
      <c r="A39" s="21">
        <v>44574</v>
      </c>
      <c r="B39" s="20" t="s">
        <v>409</v>
      </c>
      <c r="C39" s="20" t="s">
        <v>527</v>
      </c>
      <c r="D39" s="22">
        <v>6400</v>
      </c>
      <c r="E39" s="22"/>
      <c r="F39" s="20" t="s">
        <v>492</v>
      </c>
      <c r="G39" s="22">
        <v>1259790</v>
      </c>
      <c r="H39" s="23" t="str" cm="1">
        <f t="array" ref="H39">IFERROR(INDEX(단어표[분류],MIN(IF(ISNUMBER(FIND(단어표[포함단어],표3[[#This Row],[내용]])),ROW(단어표[포함단어])-ROW(포함단어시작셀)+1,ROWS(단어표[포함단어])+1))),"")</f>
        <v>기타식료품</v>
      </c>
      <c r="I39" s="23" t="str">
        <f>VLOOKUP(H39,분류표[],2,0)</f>
        <v>식비</v>
      </c>
      <c r="J39" s="24">
        <f t="shared" si="0"/>
        <v>44574</v>
      </c>
      <c r="K39" s="23">
        <f t="shared" si="1"/>
        <v>20</v>
      </c>
      <c r="O39" s="1" t="s">
        <v>450</v>
      </c>
      <c r="P39" s="1" t="s">
        <v>586</v>
      </c>
      <c r="R39" s="1" t="s">
        <v>631</v>
      </c>
      <c r="S39" s="1" t="s">
        <v>441</v>
      </c>
    </row>
    <row r="40" spans="1:19">
      <c r="A40" s="21">
        <v>44575</v>
      </c>
      <c r="B40" s="20" t="s">
        <v>408</v>
      </c>
      <c r="C40" s="20" t="s">
        <v>527</v>
      </c>
      <c r="D40" s="22">
        <v>10500</v>
      </c>
      <c r="E40" s="22"/>
      <c r="F40" s="20" t="s">
        <v>304</v>
      </c>
      <c r="G40" s="22">
        <v>1249290</v>
      </c>
      <c r="H40" s="23" t="str" cm="1">
        <f t="array" ref="H40">IFERROR(INDEX(단어표[분류],MIN(IF(ISNUMBER(FIND(단어표[포함단어],표3[[#This Row],[내용]])),ROW(단어표[포함단어])-ROW(포함단어시작셀)+1,ROWS(단어표[포함단어])+1))),"")</f>
        <v>주식</v>
      </c>
      <c r="I40" s="23" t="str">
        <f>VLOOKUP(H40,분류표[],2,0)</f>
        <v>식비</v>
      </c>
      <c r="J40" s="24">
        <f t="shared" si="0"/>
        <v>44575</v>
      </c>
      <c r="K40" s="23">
        <f t="shared" si="1"/>
        <v>16</v>
      </c>
      <c r="O40" s="1" t="s">
        <v>470</v>
      </c>
      <c r="P40" s="1" t="s">
        <v>447</v>
      </c>
      <c r="R40" s="1" t="s">
        <v>566</v>
      </c>
      <c r="S40" s="1" t="s">
        <v>441</v>
      </c>
    </row>
    <row r="41" spans="1:19">
      <c r="A41" s="21">
        <v>44575</v>
      </c>
      <c r="B41" s="20" t="s">
        <v>407</v>
      </c>
      <c r="C41" s="20" t="s">
        <v>527</v>
      </c>
      <c r="D41" s="22">
        <v>2500</v>
      </c>
      <c r="E41" s="22"/>
      <c r="F41" s="20" t="s">
        <v>455</v>
      </c>
      <c r="G41" s="22">
        <v>1246790</v>
      </c>
      <c r="H41" s="23" t="str" cm="1">
        <f t="array" ref="H41">IFERROR(INDEX(단어표[분류],MIN(IF(ISNUMBER(FIND(단어표[포함단어],표3[[#This Row],[내용]])),ROW(단어표[포함단어])-ROW(포함단어시작셀)+1,ROWS(단어표[포함단어])+1))),"")</f>
        <v>주식</v>
      </c>
      <c r="I41" s="23" t="str">
        <f>VLOOKUP(H41,분류표[],2,0)</f>
        <v>식비</v>
      </c>
      <c r="J41" s="24">
        <f t="shared" si="0"/>
        <v>44575</v>
      </c>
      <c r="K41" s="23">
        <f t="shared" si="1"/>
        <v>22</v>
      </c>
      <c r="O41" s="1" t="s">
        <v>467</v>
      </c>
      <c r="P41" s="1" t="s">
        <v>584</v>
      </c>
      <c r="R41" s="1" t="s">
        <v>565</v>
      </c>
      <c r="S41" s="1" t="s">
        <v>441</v>
      </c>
    </row>
    <row r="42" spans="1:19">
      <c r="A42" s="21">
        <v>44576</v>
      </c>
      <c r="B42" s="20" t="s">
        <v>406</v>
      </c>
      <c r="C42" s="20" t="s">
        <v>527</v>
      </c>
      <c r="D42" s="22">
        <v>8500</v>
      </c>
      <c r="E42" s="22"/>
      <c r="F42" s="20" t="s">
        <v>492</v>
      </c>
      <c r="G42" s="22">
        <v>1238290</v>
      </c>
      <c r="H42" s="23" t="str" cm="1">
        <f t="array" ref="H42">IFERROR(INDEX(단어표[분류],MIN(IF(ISNUMBER(FIND(단어표[포함단어],표3[[#This Row],[내용]])),ROW(단어표[포함단어])-ROW(포함단어시작셀)+1,ROWS(단어표[포함단어])+1))),"")</f>
        <v>기타식료품</v>
      </c>
      <c r="I42" s="23" t="str">
        <f>VLOOKUP(H42,분류표[],2,0)</f>
        <v>식비</v>
      </c>
      <c r="J42" s="24">
        <f t="shared" si="0"/>
        <v>44576</v>
      </c>
      <c r="K42" s="23">
        <f t="shared" si="1"/>
        <v>0</v>
      </c>
      <c r="O42" s="1" t="s">
        <v>495</v>
      </c>
      <c r="P42" s="1" t="s">
        <v>586</v>
      </c>
      <c r="R42" s="1" t="s">
        <v>564</v>
      </c>
      <c r="S42" s="1" t="s">
        <v>441</v>
      </c>
    </row>
    <row r="43" spans="1:19">
      <c r="A43" s="21">
        <v>44576</v>
      </c>
      <c r="B43" s="20" t="s">
        <v>405</v>
      </c>
      <c r="C43" s="20" t="s">
        <v>527</v>
      </c>
      <c r="D43" s="22">
        <v>41300</v>
      </c>
      <c r="E43" s="22"/>
      <c r="F43" s="20" t="s">
        <v>311</v>
      </c>
      <c r="G43" s="22">
        <v>1196990</v>
      </c>
      <c r="H43" s="23" t="str" cm="1">
        <f t="array" ref="H43">IFERROR(INDEX(단어표[분류],MIN(IF(ISNUMBER(FIND(단어표[포함단어],표3[[#This Row],[내용]])),ROW(단어표[포함단어])-ROW(포함단어시작셀)+1,ROWS(단어표[포함단어])+1))),"")</f>
        <v>생활용품</v>
      </c>
      <c r="I43" s="23" t="str">
        <f>VLOOKUP(H43,분류표[],2,0)</f>
        <v>생활비</v>
      </c>
      <c r="J43" s="24">
        <f t="shared" si="0"/>
        <v>44576</v>
      </c>
      <c r="K43" s="23">
        <f t="shared" si="1"/>
        <v>3</v>
      </c>
      <c r="O43" s="1" t="s">
        <v>552</v>
      </c>
      <c r="P43" s="1" t="s">
        <v>445</v>
      </c>
      <c r="R43" s="1" t="s">
        <v>438</v>
      </c>
      <c r="S43" s="1" t="s">
        <v>441</v>
      </c>
    </row>
    <row r="44" spans="1:19">
      <c r="A44" s="21">
        <v>44576</v>
      </c>
      <c r="B44" s="20" t="s">
        <v>404</v>
      </c>
      <c r="C44" s="20" t="s">
        <v>527</v>
      </c>
      <c r="D44" s="22">
        <v>4300</v>
      </c>
      <c r="E44" s="22"/>
      <c r="F44" s="20" t="s">
        <v>493</v>
      </c>
      <c r="G44" s="22">
        <v>1192690</v>
      </c>
      <c r="H44" s="23" t="str" cm="1">
        <f t="array" ref="H44">IFERROR(INDEX(단어표[분류],MIN(IF(ISNUMBER(FIND(단어표[포함단어],표3[[#This Row],[내용]])),ROW(단어표[포함단어])-ROW(포함단어시작셀)+1,ROWS(단어표[포함단어])+1))),"")</f>
        <v>커피</v>
      </c>
      <c r="I44" s="23" t="str">
        <f>VLOOKUP(H44,분류표[],2,0)</f>
        <v>식비</v>
      </c>
      <c r="J44" s="24">
        <f t="shared" si="0"/>
        <v>44576</v>
      </c>
      <c r="K44" s="23">
        <f t="shared" si="1"/>
        <v>19</v>
      </c>
      <c r="O44" s="1" t="s">
        <v>553</v>
      </c>
      <c r="P44" s="1" t="s">
        <v>564</v>
      </c>
      <c r="R44" s="1" t="s">
        <v>621</v>
      </c>
      <c r="S44" s="1" t="s">
        <v>446</v>
      </c>
    </row>
    <row r="45" spans="1:19">
      <c r="A45" s="21">
        <v>44576</v>
      </c>
      <c r="B45" s="20" t="s">
        <v>403</v>
      </c>
      <c r="C45" s="20" t="s">
        <v>527</v>
      </c>
      <c r="D45" s="22">
        <v>5200</v>
      </c>
      <c r="E45" s="22"/>
      <c r="F45" s="20" t="s">
        <v>492</v>
      </c>
      <c r="G45" s="22">
        <v>1187490</v>
      </c>
      <c r="H45" s="23" t="str" cm="1">
        <f t="array" ref="H45">IFERROR(INDEX(단어표[분류],MIN(IF(ISNUMBER(FIND(단어표[포함단어],표3[[#This Row],[내용]])),ROW(단어표[포함단어])-ROW(포함단어시작셀)+1,ROWS(단어표[포함단어])+1))),"")</f>
        <v>기타식료품</v>
      </c>
      <c r="I45" s="23" t="str">
        <f>VLOOKUP(H45,분류표[],2,0)</f>
        <v>식비</v>
      </c>
      <c r="J45" s="24">
        <f t="shared" si="0"/>
        <v>44576</v>
      </c>
      <c r="K45" s="23">
        <f t="shared" si="1"/>
        <v>23</v>
      </c>
      <c r="O45" s="1" t="s">
        <v>507</v>
      </c>
      <c r="P45" s="1" t="s">
        <v>564</v>
      </c>
      <c r="R45" s="1" t="s">
        <v>620</v>
      </c>
      <c r="S45" s="1" t="s">
        <v>446</v>
      </c>
    </row>
    <row r="46" spans="1:19">
      <c r="A46" s="21">
        <v>44577</v>
      </c>
      <c r="B46" s="20" t="s">
        <v>402</v>
      </c>
      <c r="C46" s="20" t="s">
        <v>460</v>
      </c>
      <c r="D46" s="22">
        <v>272600</v>
      </c>
      <c r="E46" s="22"/>
      <c r="F46" s="20" t="s">
        <v>470</v>
      </c>
      <c r="G46" s="22">
        <v>914890</v>
      </c>
      <c r="H46" s="23" t="str" cm="1">
        <f t="array" ref="H46">IFERROR(INDEX(단어표[분류],MIN(IF(ISNUMBER(FIND(단어표[포함단어],표3[[#This Row],[내용]])),ROW(단어표[포함단어])-ROW(포함단어시작셀)+1,ROWS(단어표[포함단어])+1))),"")</f>
        <v>사무실비</v>
      </c>
      <c r="I46" s="23" t="str">
        <f>VLOOKUP(H46,분류표[],2,0)</f>
        <v>사업운영비</v>
      </c>
      <c r="J46" s="24">
        <f t="shared" si="0"/>
        <v>44577</v>
      </c>
      <c r="K46" s="23">
        <f t="shared" si="1"/>
        <v>18</v>
      </c>
      <c r="O46" s="1" t="s">
        <v>555</v>
      </c>
      <c r="P46" s="1" t="s">
        <v>443</v>
      </c>
      <c r="R46" s="1" t="s">
        <v>444</v>
      </c>
      <c r="S46" s="1" t="s">
        <v>594</v>
      </c>
    </row>
    <row r="47" spans="1:19">
      <c r="A47" s="21">
        <v>44577</v>
      </c>
      <c r="B47" s="20" t="s">
        <v>401</v>
      </c>
      <c r="C47" s="20" t="s">
        <v>527</v>
      </c>
      <c r="D47" s="22">
        <v>18400</v>
      </c>
      <c r="E47" s="22"/>
      <c r="F47" s="20" t="s">
        <v>510</v>
      </c>
      <c r="G47" s="22">
        <v>896490</v>
      </c>
      <c r="H47" s="23" t="str" cm="1">
        <f t="array" ref="H47">IFERROR(INDEX(단어표[분류],MIN(IF(ISNUMBER(FIND(단어표[포함단어],표3[[#This Row],[내용]])),ROW(단어표[포함단어])-ROW(포함단어시작셀)+1,ROWS(단어표[포함단어])+1))),"")</f>
        <v>주식</v>
      </c>
      <c r="I47" s="23" t="str">
        <f>VLOOKUP(H47,분류표[],2,0)</f>
        <v>식비</v>
      </c>
      <c r="J47" s="24">
        <f t="shared" si="0"/>
        <v>44577</v>
      </c>
      <c r="K47" s="23">
        <f t="shared" si="1"/>
        <v>19</v>
      </c>
      <c r="O47" s="1" t="s">
        <v>556</v>
      </c>
      <c r="P47" s="1" t="s">
        <v>568</v>
      </c>
      <c r="R47" s="1" t="s">
        <v>587</v>
      </c>
      <c r="S47" s="1" t="s">
        <v>594</v>
      </c>
    </row>
    <row r="48" spans="1:19">
      <c r="A48" s="21">
        <v>44578</v>
      </c>
      <c r="B48" s="20" t="s">
        <v>400</v>
      </c>
      <c r="C48" s="20" t="s">
        <v>527</v>
      </c>
      <c r="D48" s="22">
        <v>7400</v>
      </c>
      <c r="E48" s="22"/>
      <c r="F48" s="20" t="s">
        <v>28</v>
      </c>
      <c r="G48" s="22">
        <v>889090</v>
      </c>
      <c r="H48" s="23" t="str" cm="1">
        <f t="array" ref="H48">IFERROR(INDEX(단어표[분류],MIN(IF(ISNUMBER(FIND(단어표[포함단어],표3[[#This Row],[내용]])),ROW(단어표[포함단어])-ROW(포함단어시작셀)+1,ROWS(단어표[포함단어])+1))),"")</f>
        <v>주식</v>
      </c>
      <c r="I48" s="23" t="str">
        <f>VLOOKUP(H48,분류표[],2,0)</f>
        <v>식비</v>
      </c>
      <c r="J48" s="24">
        <f t="shared" si="0"/>
        <v>44578</v>
      </c>
      <c r="K48" s="23">
        <f t="shared" si="1"/>
        <v>15</v>
      </c>
      <c r="O48" s="1" t="s">
        <v>551</v>
      </c>
      <c r="P48" s="1" t="s">
        <v>564</v>
      </c>
      <c r="R48" s="1" t="s">
        <v>512</v>
      </c>
      <c r="S48" s="1" t="s">
        <v>594</v>
      </c>
    </row>
    <row r="49" spans="1:19">
      <c r="A49" s="21">
        <v>44578</v>
      </c>
      <c r="B49" s="20" t="s">
        <v>399</v>
      </c>
      <c r="C49" s="20" t="s">
        <v>527</v>
      </c>
      <c r="D49" s="22">
        <v>2700</v>
      </c>
      <c r="E49" s="22"/>
      <c r="F49" s="20" t="s">
        <v>498</v>
      </c>
      <c r="G49" s="22">
        <v>886390</v>
      </c>
      <c r="H49" s="23" t="str" cm="1">
        <f t="array" ref="H49">IFERROR(INDEX(단어표[분류],MIN(IF(ISNUMBER(FIND(단어표[포함단어],표3[[#This Row],[내용]])),ROW(단어표[포함단어])-ROW(포함단어시작셀)+1,ROWS(단어표[포함단어])+1))),"")</f>
        <v>약</v>
      </c>
      <c r="I49" s="23" t="str">
        <f>VLOOKUP(H49,분류표[],2,0)</f>
        <v>의료비</v>
      </c>
      <c r="J49" s="24">
        <f t="shared" si="0"/>
        <v>44578</v>
      </c>
      <c r="K49" s="23">
        <f t="shared" si="1"/>
        <v>15</v>
      </c>
      <c r="O49" s="1" t="s">
        <v>554</v>
      </c>
      <c r="P49" s="1" t="s">
        <v>564</v>
      </c>
      <c r="R49" s="1" t="s">
        <v>445</v>
      </c>
      <c r="S49" s="1" t="s">
        <v>594</v>
      </c>
    </row>
    <row r="50" spans="1:19">
      <c r="A50" s="21">
        <v>44578</v>
      </c>
      <c r="B50" s="20" t="s">
        <v>398</v>
      </c>
      <c r="C50" s="20" t="s">
        <v>527</v>
      </c>
      <c r="D50" s="22">
        <v>16400</v>
      </c>
      <c r="E50" s="22"/>
      <c r="F50" s="20" t="s">
        <v>471</v>
      </c>
      <c r="G50" s="22">
        <v>869990</v>
      </c>
      <c r="H50" s="23" t="str" cm="1">
        <f t="array" ref="H50">IFERROR(INDEX(단어표[분류],MIN(IF(ISNUMBER(FIND(단어표[포함단어],표3[[#This Row],[내용]])),ROW(단어표[포함단어])-ROW(포함단어시작셀)+1,ROWS(단어표[포함단어])+1))),"")</f>
        <v>주식</v>
      </c>
      <c r="I50" s="23" t="str">
        <f>VLOOKUP(H50,분류표[],2,0)</f>
        <v>식비</v>
      </c>
      <c r="J50" s="24">
        <f t="shared" si="0"/>
        <v>44578</v>
      </c>
      <c r="K50" s="23">
        <f t="shared" si="1"/>
        <v>16</v>
      </c>
      <c r="O50" s="1" t="s">
        <v>48</v>
      </c>
      <c r="P50" s="1" t="s">
        <v>438</v>
      </c>
      <c r="R50" s="1" t="s">
        <v>575</v>
      </c>
      <c r="S50" s="1" t="s">
        <v>439</v>
      </c>
    </row>
    <row r="51" spans="1:19">
      <c r="A51" s="21">
        <v>44578</v>
      </c>
      <c r="B51" s="20" t="s">
        <v>397</v>
      </c>
      <c r="C51" s="20" t="s">
        <v>527</v>
      </c>
      <c r="D51" s="22">
        <v>4600</v>
      </c>
      <c r="E51" s="22"/>
      <c r="F51" s="20" t="s">
        <v>493</v>
      </c>
      <c r="G51" s="22">
        <v>865390</v>
      </c>
      <c r="H51" s="23" t="str" cm="1">
        <f t="array" ref="H51">IFERROR(INDEX(단어표[분류],MIN(IF(ISNUMBER(FIND(단어표[포함단어],표3[[#This Row],[내용]])),ROW(단어표[포함단어])-ROW(포함단어시작셀)+1,ROWS(단어표[포함단어])+1))),"")</f>
        <v>커피</v>
      </c>
      <c r="I51" s="23" t="str">
        <f>VLOOKUP(H51,분류표[],2,0)</f>
        <v>식비</v>
      </c>
      <c r="J51" s="24">
        <f t="shared" si="0"/>
        <v>44578</v>
      </c>
      <c r="K51" s="23">
        <f t="shared" si="1"/>
        <v>16</v>
      </c>
      <c r="O51" s="1" t="s">
        <v>468</v>
      </c>
      <c r="P51" s="1" t="s">
        <v>443</v>
      </c>
      <c r="R51" s="1" t="s">
        <v>461</v>
      </c>
      <c r="S51" s="1" t="s">
        <v>439</v>
      </c>
    </row>
    <row r="52" spans="1:19">
      <c r="A52" s="21">
        <v>44578</v>
      </c>
      <c r="B52" s="20" t="s">
        <v>396</v>
      </c>
      <c r="C52" s="20" t="s">
        <v>527</v>
      </c>
      <c r="D52" s="22">
        <v>25100</v>
      </c>
      <c r="E52" s="22"/>
      <c r="F52" s="20" t="s">
        <v>13</v>
      </c>
      <c r="G52" s="22">
        <v>840290</v>
      </c>
      <c r="H52" s="23" t="str" cm="1">
        <f t="array" ref="H52">IFERROR(INDEX(단어표[분류],MIN(IF(ISNUMBER(FIND(단어표[포함단어],표3[[#This Row],[내용]])),ROW(단어표[포함단어])-ROW(포함단어시작셀)+1,ROWS(단어표[포함단어])+1))),"")</f>
        <v>생활용품</v>
      </c>
      <c r="I52" s="23" t="str">
        <f>VLOOKUP(H52,분류표[],2,0)</f>
        <v>생활비</v>
      </c>
      <c r="J52" s="24">
        <f t="shared" si="0"/>
        <v>44578</v>
      </c>
      <c r="K52" s="23">
        <f t="shared" si="1"/>
        <v>19</v>
      </c>
      <c r="O52" s="1" t="s">
        <v>456</v>
      </c>
      <c r="P52" s="1" t="s">
        <v>563</v>
      </c>
      <c r="R52" s="1" t="s">
        <v>574</v>
      </c>
      <c r="S52" s="1" t="s">
        <v>439</v>
      </c>
    </row>
    <row r="53" spans="1:19">
      <c r="A53" s="21">
        <v>44579</v>
      </c>
      <c r="B53" s="20" t="s">
        <v>395</v>
      </c>
      <c r="C53" s="20" t="s">
        <v>527</v>
      </c>
      <c r="D53" s="22">
        <v>6200</v>
      </c>
      <c r="E53" s="22"/>
      <c r="F53" s="20" t="s">
        <v>448</v>
      </c>
      <c r="G53" s="22">
        <v>834090</v>
      </c>
      <c r="H53" s="23" t="str" cm="1">
        <f t="array" ref="H53">IFERROR(INDEX(단어표[분류],MIN(IF(ISNUMBER(FIND(단어표[포함단어],표3[[#This Row],[내용]])),ROW(단어표[포함단어])-ROW(포함단어시작셀)+1,ROWS(단어표[포함단어])+1))),"")</f>
        <v>주식</v>
      </c>
      <c r="I53" s="23" t="str">
        <f>VLOOKUP(H53,분류표[],2,0)</f>
        <v>식비</v>
      </c>
      <c r="J53" s="24">
        <f t="shared" si="0"/>
        <v>44579</v>
      </c>
      <c r="K53" s="23">
        <f t="shared" si="1"/>
        <v>15</v>
      </c>
      <c r="O53" s="1" t="s">
        <v>557</v>
      </c>
      <c r="P53" s="1" t="s">
        <v>564</v>
      </c>
      <c r="R53" s="1" t="s">
        <v>649</v>
      </c>
      <c r="S53" s="1" t="s">
        <v>646</v>
      </c>
    </row>
    <row r="54" spans="1:19">
      <c r="A54" s="21">
        <v>44579</v>
      </c>
      <c r="B54" s="20" t="s">
        <v>394</v>
      </c>
      <c r="C54" s="20" t="s">
        <v>527</v>
      </c>
      <c r="D54" s="22">
        <v>4400</v>
      </c>
      <c r="E54" s="22"/>
      <c r="F54" s="20" t="s">
        <v>493</v>
      </c>
      <c r="G54" s="22">
        <v>829690</v>
      </c>
      <c r="H54" s="23" t="str" cm="1">
        <f t="array" ref="H54">IFERROR(INDEX(단어표[분류],MIN(IF(ISNUMBER(FIND(단어표[포함단어],표3[[#This Row],[내용]])),ROW(단어표[포함단어])-ROW(포함단어시작셀)+1,ROWS(단어표[포함단어])+1))),"")</f>
        <v>커피</v>
      </c>
      <c r="I54" s="23" t="str">
        <f>VLOOKUP(H54,분류표[],2,0)</f>
        <v>식비</v>
      </c>
      <c r="J54" s="24">
        <f t="shared" si="0"/>
        <v>44579</v>
      </c>
      <c r="K54" s="23">
        <f t="shared" si="1"/>
        <v>16</v>
      </c>
      <c r="O54" s="1" t="s">
        <v>558</v>
      </c>
      <c r="P54" s="1" t="s">
        <v>564</v>
      </c>
    </row>
    <row r="55" spans="1:19">
      <c r="A55" s="21">
        <v>44579</v>
      </c>
      <c r="B55" s="20" t="s">
        <v>393</v>
      </c>
      <c r="C55" s="20" t="s">
        <v>527</v>
      </c>
      <c r="D55" s="22">
        <v>4100</v>
      </c>
      <c r="E55" s="22"/>
      <c r="F55" s="20" t="s">
        <v>456</v>
      </c>
      <c r="G55" s="22">
        <v>825590</v>
      </c>
      <c r="H55" s="23" t="str" cm="1">
        <f t="array" ref="H55">IFERROR(INDEX(단어표[분류],MIN(IF(ISNUMBER(FIND(단어표[포함단어],표3[[#This Row],[내용]])),ROW(단어표[포함단어])-ROW(포함단어시작셀)+1,ROWS(단어표[포함단어])+1))),"")</f>
        <v>간식</v>
      </c>
      <c r="I55" s="23" t="str">
        <f>VLOOKUP(H55,분류표[],2,0)</f>
        <v>식비</v>
      </c>
      <c r="J55" s="24">
        <f t="shared" si="0"/>
        <v>44579</v>
      </c>
      <c r="K55" s="23">
        <f t="shared" si="1"/>
        <v>20</v>
      </c>
      <c r="O55" s="1" t="s">
        <v>559</v>
      </c>
      <c r="P55" s="1" t="s">
        <v>563</v>
      </c>
    </row>
    <row r="56" spans="1:19">
      <c r="A56" s="21">
        <v>44580</v>
      </c>
      <c r="B56" s="20" t="s">
        <v>392</v>
      </c>
      <c r="C56" s="20" t="s">
        <v>527</v>
      </c>
      <c r="D56" s="22">
        <v>4500</v>
      </c>
      <c r="E56" s="22"/>
      <c r="F56" s="20" t="s">
        <v>496</v>
      </c>
      <c r="G56" s="22">
        <v>821090</v>
      </c>
      <c r="H56" s="23" t="str" cm="1">
        <f t="array" ref="H56">IFERROR(INDEX(단어표[분류],MIN(IF(ISNUMBER(FIND(단어표[포함단어],표3[[#This Row],[내용]])),ROW(단어표[포함단어])-ROW(포함단어시작셀)+1,ROWS(단어표[포함단어])+1))),"")</f>
        <v>기타생활비</v>
      </c>
      <c r="I56" s="23" t="str">
        <f>VLOOKUP(H56,분류표[],2,0)</f>
        <v>생활비</v>
      </c>
      <c r="J56" s="24">
        <f t="shared" si="0"/>
        <v>44580</v>
      </c>
      <c r="K56" s="23">
        <f t="shared" si="1"/>
        <v>14</v>
      </c>
      <c r="O56" s="1" t="s">
        <v>560</v>
      </c>
      <c r="P56" s="1" t="s">
        <v>583</v>
      </c>
    </row>
    <row r="57" spans="1:19">
      <c r="A57" s="21">
        <v>44580</v>
      </c>
      <c r="B57" s="20" t="s">
        <v>313</v>
      </c>
      <c r="C57" s="20" t="s">
        <v>527</v>
      </c>
      <c r="D57" s="22">
        <v>9800</v>
      </c>
      <c r="E57" s="22"/>
      <c r="F57" s="20" t="s">
        <v>127</v>
      </c>
      <c r="G57" s="22">
        <v>811290</v>
      </c>
      <c r="H57" s="23" t="str" cm="1">
        <f t="array" ref="H57">IFERROR(INDEX(단어표[분류],MIN(IF(ISNUMBER(FIND(단어표[포함단어],표3[[#This Row],[내용]])),ROW(단어표[포함단어])-ROW(포함단어시작셀)+1,ROWS(단어표[포함단어])+1))),"")</f>
        <v>주식</v>
      </c>
      <c r="I57" s="23" t="str">
        <f>VLOOKUP(H57,분류표[],2,0)</f>
        <v>식비</v>
      </c>
      <c r="J57" s="24">
        <f t="shared" si="0"/>
        <v>44580</v>
      </c>
      <c r="K57" s="23">
        <f t="shared" si="1"/>
        <v>22</v>
      </c>
      <c r="O57" s="1" t="s">
        <v>562</v>
      </c>
      <c r="P57" s="1" t="s">
        <v>564</v>
      </c>
    </row>
    <row r="58" spans="1:19">
      <c r="A58" s="21">
        <v>44581</v>
      </c>
      <c r="B58" s="20" t="s">
        <v>391</v>
      </c>
      <c r="C58" s="20" t="s">
        <v>527</v>
      </c>
      <c r="D58" s="22">
        <v>21200</v>
      </c>
      <c r="E58" s="22"/>
      <c r="F58" s="20" t="s">
        <v>472</v>
      </c>
      <c r="G58" s="22">
        <v>790090</v>
      </c>
      <c r="H58" s="23" t="str" cm="1">
        <f t="array" ref="H58">IFERROR(INDEX(단어표[분류],MIN(IF(ISNUMBER(FIND(단어표[포함단어],표3[[#This Row],[내용]])),ROW(단어표[포함단어])-ROW(포함단어시작셀)+1,ROWS(단어표[포함단어])+1))),"")</f>
        <v>주식</v>
      </c>
      <c r="I58" s="23" t="str">
        <f>VLOOKUP(H58,분류표[],2,0)</f>
        <v>식비</v>
      </c>
      <c r="J58" s="24">
        <f t="shared" si="0"/>
        <v>44581</v>
      </c>
      <c r="K58" s="23">
        <f t="shared" si="1"/>
        <v>12</v>
      </c>
      <c r="O58" s="1" t="s">
        <v>561</v>
      </c>
      <c r="P58" s="1" t="s">
        <v>438</v>
      </c>
    </row>
    <row r="59" spans="1:19">
      <c r="A59" s="21">
        <v>44581</v>
      </c>
      <c r="B59" s="20" t="s">
        <v>390</v>
      </c>
      <c r="C59" s="20" t="s">
        <v>527</v>
      </c>
      <c r="D59" s="22">
        <v>10700</v>
      </c>
      <c r="E59" s="22"/>
      <c r="F59" s="20" t="s">
        <v>485</v>
      </c>
      <c r="G59" s="22">
        <v>779390</v>
      </c>
      <c r="H59" s="23" t="str" cm="1">
        <f t="array" ref="H59">IFERROR(INDEX(단어표[분류],MIN(IF(ISNUMBER(FIND(단어표[포함단어],표3[[#This Row],[내용]])),ROW(단어표[포함단어])-ROW(포함단어시작셀)+1,ROWS(단어표[포함단어])+1))),"")</f>
        <v>주식</v>
      </c>
      <c r="I59" s="23" t="str">
        <f>VLOOKUP(H59,분류표[],2,0)</f>
        <v>식비</v>
      </c>
      <c r="J59" s="24">
        <f t="shared" si="0"/>
        <v>44581</v>
      </c>
      <c r="K59" s="23">
        <f t="shared" si="1"/>
        <v>19</v>
      </c>
      <c r="O59" s="1" t="s">
        <v>472</v>
      </c>
      <c r="P59" s="1" t="s">
        <v>564</v>
      </c>
    </row>
    <row r="60" spans="1:19">
      <c r="A60" s="21">
        <v>44582</v>
      </c>
      <c r="B60" s="20" t="s">
        <v>389</v>
      </c>
      <c r="C60" s="20" t="s">
        <v>527</v>
      </c>
      <c r="D60" s="22">
        <v>4000</v>
      </c>
      <c r="E60" s="22"/>
      <c r="F60" s="20" t="s">
        <v>492</v>
      </c>
      <c r="G60" s="22">
        <v>775390</v>
      </c>
      <c r="H60" s="23" t="str" cm="1">
        <f t="array" ref="H60">IFERROR(INDEX(단어표[분류],MIN(IF(ISNUMBER(FIND(단어표[포함단어],표3[[#This Row],[내용]])),ROW(단어표[포함단어])-ROW(포함단어시작셀)+1,ROWS(단어표[포함단어])+1))),"")</f>
        <v>기타식료품</v>
      </c>
      <c r="I60" s="23" t="str">
        <f>VLOOKUP(H60,분류표[],2,0)</f>
        <v>식비</v>
      </c>
      <c r="J60" s="24">
        <f t="shared" si="0"/>
        <v>44582</v>
      </c>
      <c r="K60" s="23">
        <f t="shared" si="1"/>
        <v>3</v>
      </c>
      <c r="O60" s="1" t="s">
        <v>629</v>
      </c>
      <c r="P60" s="1" t="s">
        <v>564</v>
      </c>
    </row>
    <row r="61" spans="1:19">
      <c r="A61" s="21">
        <v>44582</v>
      </c>
      <c r="B61" s="20" t="s">
        <v>388</v>
      </c>
      <c r="C61" s="20" t="s">
        <v>527</v>
      </c>
      <c r="D61" s="22">
        <v>13700</v>
      </c>
      <c r="E61" s="22"/>
      <c r="F61" s="20" t="s">
        <v>486</v>
      </c>
      <c r="G61" s="22">
        <v>761690</v>
      </c>
      <c r="H61" s="23" t="str" cm="1">
        <f t="array" ref="H61">IFERROR(INDEX(단어표[분류],MIN(IF(ISNUMBER(FIND(단어표[포함단어],표3[[#This Row],[내용]])),ROW(단어표[포함단어])-ROW(포함단어시작셀)+1,ROWS(단어표[포함단어])+1))),"")</f>
        <v>업무관련</v>
      </c>
      <c r="I61" s="23" t="str">
        <f>VLOOKUP(H61,분류표[],2,0)</f>
        <v>사업운영비</v>
      </c>
      <c r="J61" s="24">
        <f t="shared" si="0"/>
        <v>44582</v>
      </c>
      <c r="K61" s="23">
        <f t="shared" si="1"/>
        <v>9</v>
      </c>
      <c r="O61" s="1" t="s">
        <v>454</v>
      </c>
      <c r="P61" s="1" t="s">
        <v>627</v>
      </c>
    </row>
    <row r="62" spans="1:19">
      <c r="A62" s="21">
        <v>44582</v>
      </c>
      <c r="B62" s="20" t="s">
        <v>387</v>
      </c>
      <c r="C62" s="20" t="s">
        <v>527</v>
      </c>
      <c r="D62" s="22">
        <v>5600</v>
      </c>
      <c r="E62" s="22"/>
      <c r="F62" s="20" t="s">
        <v>459</v>
      </c>
      <c r="G62" s="22">
        <v>756090</v>
      </c>
      <c r="H62" s="23" t="str" cm="1">
        <f t="array" ref="H62">IFERROR(INDEX(단어표[분류],MIN(IF(ISNUMBER(FIND(단어표[포함단어],표3[[#This Row],[내용]])),ROW(단어표[포함단어])-ROW(포함단어시작셀)+1,ROWS(단어표[포함단어])+1))),"")</f>
        <v>구독서비스</v>
      </c>
      <c r="I62" s="23" t="str">
        <f>VLOOKUP(H62,분류표[],2,0)</f>
        <v>생활비</v>
      </c>
      <c r="J62" s="24">
        <f t="shared" si="0"/>
        <v>44582</v>
      </c>
      <c r="K62" s="23">
        <f t="shared" si="1"/>
        <v>10</v>
      </c>
      <c r="O62" s="1" t="s">
        <v>630</v>
      </c>
      <c r="P62" s="1" t="s">
        <v>564</v>
      </c>
    </row>
    <row r="63" spans="1:19">
      <c r="A63" s="21">
        <v>44582</v>
      </c>
      <c r="B63" s="20" t="s">
        <v>386</v>
      </c>
      <c r="C63" s="20" t="s">
        <v>527</v>
      </c>
      <c r="D63" s="22">
        <v>52000</v>
      </c>
      <c r="E63" s="22"/>
      <c r="F63" s="20" t="s">
        <v>467</v>
      </c>
      <c r="G63" s="22">
        <v>704090</v>
      </c>
      <c r="H63" s="23" t="str" cm="1">
        <f t="array" ref="H63">IFERROR(INDEX(단어표[분류],MIN(IF(ISNUMBER(FIND(단어표[포함단어],표3[[#This Row],[내용]])),ROW(단어표[포함단어])-ROW(포함단어시작셀)+1,ROWS(단어표[포함단어])+1))),"")</f>
        <v>화장품</v>
      </c>
      <c r="I63" s="23" t="str">
        <f>VLOOKUP(H63,분류표[],2,0)</f>
        <v>생활비</v>
      </c>
      <c r="J63" s="24">
        <f t="shared" si="0"/>
        <v>44582</v>
      </c>
      <c r="K63" s="23">
        <f t="shared" si="1"/>
        <v>20</v>
      </c>
      <c r="O63" s="1" t="s">
        <v>605</v>
      </c>
      <c r="P63" s="1" t="s">
        <v>438</v>
      </c>
    </row>
    <row r="64" spans="1:19">
      <c r="A64" s="21">
        <v>44582</v>
      </c>
      <c r="B64" s="20" t="s">
        <v>385</v>
      </c>
      <c r="C64" s="20" t="s">
        <v>527</v>
      </c>
      <c r="D64" s="22">
        <v>2600</v>
      </c>
      <c r="E64" s="22"/>
      <c r="F64" s="20" t="s">
        <v>492</v>
      </c>
      <c r="G64" s="22">
        <v>701490</v>
      </c>
      <c r="H64" s="23" t="str" cm="1">
        <f t="array" ref="H64">IFERROR(INDEX(단어표[분류],MIN(IF(ISNUMBER(FIND(단어표[포함단어],표3[[#This Row],[내용]])),ROW(단어표[포함단어])-ROW(포함단어시작셀)+1,ROWS(단어표[포함단어])+1))),"")</f>
        <v>기타식료품</v>
      </c>
      <c r="I64" s="23" t="str">
        <f>VLOOKUP(H64,분류표[],2,0)</f>
        <v>식비</v>
      </c>
      <c r="J64" s="24">
        <f t="shared" si="0"/>
        <v>44582</v>
      </c>
      <c r="K64" s="23">
        <f t="shared" si="1"/>
        <v>20</v>
      </c>
      <c r="O64" s="1" t="s">
        <v>531</v>
      </c>
      <c r="P64" s="1" t="s">
        <v>566</v>
      </c>
    </row>
    <row r="65" spans="1:16">
      <c r="A65" s="21">
        <v>44582</v>
      </c>
      <c r="B65" s="20" t="s">
        <v>384</v>
      </c>
      <c r="C65" s="20" t="s">
        <v>527</v>
      </c>
      <c r="D65" s="22">
        <v>40900</v>
      </c>
      <c r="E65" s="22"/>
      <c r="F65" s="20" t="s">
        <v>453</v>
      </c>
      <c r="G65" s="22">
        <v>660590</v>
      </c>
      <c r="H65" s="23" t="str" cm="1">
        <f t="array" ref="H65">IFERROR(INDEX(단어표[분류],MIN(IF(ISNUMBER(FIND(단어표[포함단어],표3[[#This Row],[내용]])),ROW(단어표[포함단어])-ROW(포함단어시작셀)+1,ROWS(단어표[포함단어])+1))),"")</f>
        <v>업무관련</v>
      </c>
      <c r="I65" s="23" t="str">
        <f>VLOOKUP(H65,분류표[],2,0)</f>
        <v>사업운영비</v>
      </c>
      <c r="J65" s="24">
        <f t="shared" si="0"/>
        <v>44582</v>
      </c>
      <c r="K65" s="23">
        <f t="shared" si="1"/>
        <v>23</v>
      </c>
      <c r="O65" s="1" t="s">
        <v>477</v>
      </c>
      <c r="P65" s="1" t="s">
        <v>631</v>
      </c>
    </row>
    <row r="66" spans="1:16">
      <c r="A66" s="21">
        <v>44583</v>
      </c>
      <c r="B66" s="20" t="s">
        <v>383</v>
      </c>
      <c r="C66" s="20" t="s">
        <v>527</v>
      </c>
      <c r="D66" s="22">
        <v>3600</v>
      </c>
      <c r="E66" s="22"/>
      <c r="F66" s="20" t="s">
        <v>476</v>
      </c>
      <c r="G66" s="22">
        <v>656990</v>
      </c>
      <c r="H66" s="23" t="str" cm="1">
        <f t="array" ref="H66">IFERROR(INDEX(단어표[분류],MIN(IF(ISNUMBER(FIND(단어표[포함단어],표3[[#This Row],[내용]])),ROW(단어표[포함단어])-ROW(포함단어시작셀)+1,ROWS(단어표[포함단어])+1))),"")</f>
        <v>생활용품</v>
      </c>
      <c r="I66" s="23" t="str">
        <f>VLOOKUP(H66,분류표[],2,0)</f>
        <v>생활비</v>
      </c>
      <c r="J66" s="24">
        <f t="shared" si="0"/>
        <v>44583</v>
      </c>
      <c r="K66" s="23">
        <f t="shared" si="1"/>
        <v>19</v>
      </c>
      <c r="O66" s="1" t="s">
        <v>632</v>
      </c>
      <c r="P66" s="1" t="s">
        <v>564</v>
      </c>
    </row>
    <row r="67" spans="1:16">
      <c r="A67" s="21">
        <v>44584</v>
      </c>
      <c r="B67" s="20" t="s">
        <v>382</v>
      </c>
      <c r="C67" s="20" t="s">
        <v>527</v>
      </c>
      <c r="D67" s="22">
        <v>4300</v>
      </c>
      <c r="E67" s="22"/>
      <c r="F67" s="20" t="s">
        <v>455</v>
      </c>
      <c r="G67" s="22">
        <v>652690</v>
      </c>
      <c r="H67" s="23" t="str" cm="1">
        <f t="array" ref="H67">IFERROR(INDEX(단어표[분류],MIN(IF(ISNUMBER(FIND(단어표[포함단어],표3[[#This Row],[내용]])),ROW(단어표[포함단어])-ROW(포함단어시작셀)+1,ROWS(단어표[포함단어])+1))),"")</f>
        <v>주식</v>
      </c>
      <c r="I67" s="23" t="str">
        <f>VLOOKUP(H67,분류표[],2,0)</f>
        <v>식비</v>
      </c>
      <c r="J67" s="24">
        <f t="shared" si="0"/>
        <v>44584</v>
      </c>
      <c r="K67" s="23">
        <f t="shared" si="1"/>
        <v>0</v>
      </c>
      <c r="O67" s="1" t="s">
        <v>635</v>
      </c>
      <c r="P67" s="1" t="s">
        <v>564</v>
      </c>
    </row>
    <row r="68" spans="1:16">
      <c r="A68" s="21">
        <v>44584</v>
      </c>
      <c r="B68" s="20" t="s">
        <v>30</v>
      </c>
      <c r="C68" s="20" t="s">
        <v>527</v>
      </c>
      <c r="D68" s="22">
        <v>2300</v>
      </c>
      <c r="E68" s="22"/>
      <c r="F68" s="20" t="s">
        <v>31</v>
      </c>
      <c r="G68" s="22">
        <v>650390</v>
      </c>
      <c r="H68" s="23" t="str" cm="1">
        <f t="array" ref="H68">IFERROR(INDEX(단어표[분류],MIN(IF(ISNUMBER(FIND(단어표[포함단어],표3[[#This Row],[내용]])),ROW(단어표[포함단어])-ROW(포함단어시작셀)+1,ROWS(단어표[포함단어])+1))),"")</f>
        <v>구독서비스</v>
      </c>
      <c r="I68" s="23" t="str">
        <f>VLOOKUP(H68,분류표[],2,0)</f>
        <v>생활비</v>
      </c>
      <c r="J68" s="24">
        <f t="shared" si="0"/>
        <v>44584</v>
      </c>
      <c r="K68" s="23">
        <f t="shared" si="1"/>
        <v>2</v>
      </c>
      <c r="O68" s="1" t="s">
        <v>636</v>
      </c>
      <c r="P68" s="1" t="s">
        <v>564</v>
      </c>
    </row>
    <row r="69" spans="1:16">
      <c r="A69" s="21">
        <v>44585</v>
      </c>
      <c r="B69" s="20" t="s">
        <v>381</v>
      </c>
      <c r="C69" s="20" t="s">
        <v>527</v>
      </c>
      <c r="D69" s="22">
        <v>11400</v>
      </c>
      <c r="E69" s="22"/>
      <c r="F69" s="20" t="s">
        <v>492</v>
      </c>
      <c r="G69" s="22">
        <v>638990</v>
      </c>
      <c r="H69" s="23" t="str" cm="1">
        <f t="array" ref="H69">IFERROR(INDEX(단어표[분류],MIN(IF(ISNUMBER(FIND(단어표[포함단어],표3[[#This Row],[내용]])),ROW(단어표[포함단어])-ROW(포함단어시작셀)+1,ROWS(단어표[포함단어])+1))),"")</f>
        <v>기타식료품</v>
      </c>
      <c r="I69" s="23" t="str">
        <f>VLOOKUP(H69,분류표[],2,0)</f>
        <v>식비</v>
      </c>
      <c r="J69" s="24">
        <f t="shared" si="0"/>
        <v>44585</v>
      </c>
      <c r="K69" s="23">
        <f t="shared" si="1"/>
        <v>3</v>
      </c>
      <c r="O69" s="1" t="s">
        <v>637</v>
      </c>
      <c r="P69" s="1" t="s">
        <v>564</v>
      </c>
    </row>
    <row r="70" spans="1:16">
      <c r="A70" s="21">
        <v>44585</v>
      </c>
      <c r="B70" s="20" t="s">
        <v>380</v>
      </c>
      <c r="C70" s="20" t="s">
        <v>529</v>
      </c>
      <c r="D70" s="22">
        <v>10700</v>
      </c>
      <c r="E70" s="22"/>
      <c r="F70" s="20" t="s">
        <v>500</v>
      </c>
      <c r="G70" s="22">
        <v>628290</v>
      </c>
      <c r="H70" s="23" t="str" cm="1">
        <f t="array" ref="H70">IFERROR(INDEX(단어표[분류],MIN(IF(ISNUMBER(FIND(단어표[포함단어],표3[[#This Row],[내용]])),ROW(단어표[포함단어])-ROW(포함단어시작셀)+1,ROWS(단어표[포함단어])+1))),"")</f>
        <v>주식</v>
      </c>
      <c r="I70" s="23" t="str">
        <f>VLOOKUP(H70,분류표[],2,0)</f>
        <v>식비</v>
      </c>
      <c r="J70" s="24">
        <f t="shared" si="0"/>
        <v>44585</v>
      </c>
      <c r="K70" s="23">
        <f t="shared" si="1"/>
        <v>18</v>
      </c>
      <c r="O70" s="1" t="s">
        <v>638</v>
      </c>
      <c r="P70" s="1" t="s">
        <v>564</v>
      </c>
    </row>
    <row r="71" spans="1:16">
      <c r="A71" s="21">
        <v>44586</v>
      </c>
      <c r="B71" s="20" t="s">
        <v>387</v>
      </c>
      <c r="C71" s="20" t="s">
        <v>529</v>
      </c>
      <c r="D71" s="22"/>
      <c r="E71" s="22">
        <v>2754000</v>
      </c>
      <c r="F71" s="20" t="s">
        <v>528</v>
      </c>
      <c r="G71" s="22">
        <v>3382290</v>
      </c>
      <c r="H71" s="23" t="str" cm="1">
        <f t="array" ref="H71">IFERROR(INDEX(단어표[분류],MIN(IF(ISNUMBER(FIND(단어표[포함단어],표3[[#This Row],[내용]])),ROW(단어표[포함단어])-ROW(포함단어시작셀)+1,ROWS(단어표[포함단어])+1))),"")</f>
        <v>급여</v>
      </c>
      <c r="I71" s="23" t="str">
        <f>VLOOKUP(H71,분류표[],2,0)</f>
        <v>수입</v>
      </c>
      <c r="J71" s="24">
        <f t="shared" si="0"/>
        <v>44586</v>
      </c>
      <c r="K71" s="23">
        <f t="shared" si="1"/>
        <v>10</v>
      </c>
      <c r="O71" s="1" t="s">
        <v>639</v>
      </c>
      <c r="P71" s="1" t="s">
        <v>564</v>
      </c>
    </row>
    <row r="72" spans="1:16">
      <c r="A72" s="21">
        <v>44586</v>
      </c>
      <c r="B72" s="25">
        <v>0.42745370370370367</v>
      </c>
      <c r="C72" s="20" t="s">
        <v>642</v>
      </c>
      <c r="D72" s="22">
        <v>450000</v>
      </c>
      <c r="E72" s="22"/>
      <c r="F72" s="20" t="s">
        <v>647</v>
      </c>
      <c r="G72" s="22">
        <v>2932290</v>
      </c>
      <c r="H72" s="23" t="str" cm="1">
        <f t="array" ref="H72">IFERROR(INDEX(단어표[분류],MIN(IF(ISNUMBER(FIND(단어표[포함단어],표3[[#This Row],[내용]])),ROW(단어표[포함단어])-ROW(포함단어시작셀)+1,ROWS(단어표[포함단어])+1))),"")</f>
        <v>예적금</v>
      </c>
      <c r="I72" s="23" t="str">
        <f>VLOOKUP(H72,분류표[],2,0)</f>
        <v>투자비</v>
      </c>
      <c r="J72" s="24">
        <f t="shared" si="0"/>
        <v>44586</v>
      </c>
      <c r="K72" s="23">
        <f t="shared" si="1"/>
        <v>10</v>
      </c>
      <c r="O72" s="1" t="s">
        <v>640</v>
      </c>
      <c r="P72" s="1" t="s">
        <v>564</v>
      </c>
    </row>
    <row r="73" spans="1:16">
      <c r="A73" s="21">
        <v>44586</v>
      </c>
      <c r="B73" s="20" t="s">
        <v>379</v>
      </c>
      <c r="C73" s="20" t="s">
        <v>527</v>
      </c>
      <c r="D73" s="22">
        <v>11000</v>
      </c>
      <c r="E73" s="22"/>
      <c r="F73" s="20" t="s">
        <v>502</v>
      </c>
      <c r="G73" s="22">
        <v>2921290</v>
      </c>
      <c r="H73" s="23" t="str" cm="1">
        <f t="array" ref="H73">IFERROR(INDEX(단어표[분류],MIN(IF(ISNUMBER(FIND(단어표[포함단어],표3[[#This Row],[내용]])),ROW(단어표[포함단어])-ROW(포함단어시작셀)+1,ROWS(단어표[포함단어])+1))),"")</f>
        <v>진료비</v>
      </c>
      <c r="I73" s="23" t="str">
        <f>VLOOKUP(H73,분류표[],2,0)</f>
        <v>의료비</v>
      </c>
      <c r="J73" s="24">
        <f t="shared" ref="J73:J136" si="2">A73</f>
        <v>44586</v>
      </c>
      <c r="K73" s="23">
        <f t="shared" ref="K73:K136" si="3">HOUR(B73)</f>
        <v>14</v>
      </c>
      <c r="O73" s="1" t="s">
        <v>641</v>
      </c>
      <c r="P73" s="1" t="s">
        <v>564</v>
      </c>
    </row>
    <row r="74" spans="1:16">
      <c r="A74" s="21">
        <v>44586</v>
      </c>
      <c r="B74" s="20" t="s">
        <v>377</v>
      </c>
      <c r="C74" s="20" t="s">
        <v>527</v>
      </c>
      <c r="D74" s="22">
        <v>3500</v>
      </c>
      <c r="E74" s="22"/>
      <c r="F74" s="20" t="s">
        <v>378</v>
      </c>
      <c r="G74" s="22">
        <v>2917790</v>
      </c>
      <c r="H74" s="23" t="str" cm="1">
        <f t="array" ref="H74">IFERROR(INDEX(단어표[분류],MIN(IF(ISNUMBER(FIND(단어표[포함단어],표3[[#This Row],[내용]])),ROW(단어표[포함단어])-ROW(포함단어시작셀)+1,ROWS(단어표[포함단어])+1))),"")</f>
        <v>약</v>
      </c>
      <c r="I74" s="23" t="str">
        <f>VLOOKUP(H74,분류표[],2,0)</f>
        <v>의료비</v>
      </c>
      <c r="J74" s="24">
        <f t="shared" si="2"/>
        <v>44586</v>
      </c>
      <c r="K74" s="23">
        <f t="shared" si="3"/>
        <v>14</v>
      </c>
      <c r="O74" s="1" t="s">
        <v>717</v>
      </c>
      <c r="P74" s="1" t="s">
        <v>583</v>
      </c>
    </row>
    <row r="75" spans="1:16">
      <c r="A75" s="21">
        <v>44586</v>
      </c>
      <c r="B75" s="20" t="s">
        <v>376</v>
      </c>
      <c r="C75" s="20" t="s">
        <v>527</v>
      </c>
      <c r="D75" s="22">
        <v>4900</v>
      </c>
      <c r="E75" s="22"/>
      <c r="F75" s="20" t="s">
        <v>478</v>
      </c>
      <c r="G75" s="22">
        <v>2912890</v>
      </c>
      <c r="H75" s="23" t="str" cm="1">
        <f t="array" ref="H75">IFERROR(INDEX(단어표[분류],MIN(IF(ISNUMBER(FIND(단어표[포함단어],표3[[#This Row],[내용]])),ROW(단어표[포함단어])-ROW(포함단어시작셀)+1,ROWS(단어표[포함단어])+1))),"")</f>
        <v>주식</v>
      </c>
      <c r="I75" s="23" t="str">
        <f>VLOOKUP(H75,분류표[],2,0)</f>
        <v>식비</v>
      </c>
      <c r="J75" s="24">
        <f t="shared" si="2"/>
        <v>44586</v>
      </c>
      <c r="K75" s="23">
        <f t="shared" si="3"/>
        <v>15</v>
      </c>
      <c r="O75" s="1" t="s">
        <v>528</v>
      </c>
      <c r="P75" s="1" t="s">
        <v>622</v>
      </c>
    </row>
    <row r="76" spans="1:16">
      <c r="A76" s="21">
        <v>44586</v>
      </c>
      <c r="B76" s="20" t="s">
        <v>375</v>
      </c>
      <c r="C76" s="20" t="s">
        <v>460</v>
      </c>
      <c r="D76" s="22">
        <v>100600</v>
      </c>
      <c r="E76" s="22"/>
      <c r="F76" s="20" t="s">
        <v>525</v>
      </c>
      <c r="G76" s="22">
        <v>2812290</v>
      </c>
      <c r="H76" s="23" t="str" cm="1">
        <f t="array" ref="H76">IFERROR(INDEX(단어표[분류],MIN(IF(ISNUMBER(FIND(단어표[포함단어],표3[[#This Row],[내용]])),ROW(단어표[포함단어])-ROW(포함단어시작셀)+1,ROWS(단어표[포함단어])+1))),"")</f>
        <v>월세</v>
      </c>
      <c r="I76" s="23" t="str">
        <f>VLOOKUP(H76,분류표[],2,0)</f>
        <v>주거/공과금</v>
      </c>
      <c r="J76" s="24">
        <f t="shared" si="2"/>
        <v>44586</v>
      </c>
      <c r="K76" s="23">
        <f t="shared" si="3"/>
        <v>15</v>
      </c>
      <c r="O76" s="1" t="s">
        <v>718</v>
      </c>
      <c r="P76" s="1" t="s">
        <v>649</v>
      </c>
    </row>
    <row r="77" spans="1:16">
      <c r="A77" s="21">
        <v>44586</v>
      </c>
      <c r="B77" s="20" t="s">
        <v>374</v>
      </c>
      <c r="C77" s="20" t="s">
        <v>460</v>
      </c>
      <c r="D77" s="22">
        <v>819800</v>
      </c>
      <c r="E77" s="22"/>
      <c r="F77" s="20" t="s">
        <v>526</v>
      </c>
      <c r="G77" s="22">
        <v>1992490</v>
      </c>
      <c r="H77" s="23" t="str" cm="1">
        <f t="array" ref="H77">IFERROR(INDEX(단어표[분류],MIN(IF(ISNUMBER(FIND(단어표[포함단어],표3[[#This Row],[내용]])),ROW(단어표[포함단어])-ROW(포함단어시작셀)+1,ROWS(단어표[포함단어])+1))),"")</f>
        <v>월세</v>
      </c>
      <c r="I77" s="23" t="str">
        <f>VLOOKUP(H77,분류표[],2,0)</f>
        <v>주거/공과금</v>
      </c>
      <c r="J77" s="24">
        <f t="shared" si="2"/>
        <v>44586</v>
      </c>
      <c r="K77" s="23">
        <f t="shared" si="3"/>
        <v>15</v>
      </c>
      <c r="O77" s="1" t="s">
        <v>719</v>
      </c>
      <c r="P77" s="1" t="s">
        <v>583</v>
      </c>
    </row>
    <row r="78" spans="1:16">
      <c r="A78" s="21">
        <v>44586</v>
      </c>
      <c r="B78" s="20" t="s">
        <v>373</v>
      </c>
      <c r="C78" s="20" t="s">
        <v>460</v>
      </c>
      <c r="D78" s="22">
        <v>12500</v>
      </c>
      <c r="E78" s="22"/>
      <c r="F78" s="20" t="s">
        <v>524</v>
      </c>
      <c r="G78" s="22">
        <v>1979990</v>
      </c>
      <c r="H78" s="23" t="str" cm="1">
        <f t="array" ref="H78">IFERROR(INDEX(단어표[분류],MIN(IF(ISNUMBER(FIND(단어표[포함단어],표3[[#This Row],[내용]])),ROW(단어표[포함단어])-ROW(포함단어시작셀)+1,ROWS(단어표[포함단어])+1))),"")</f>
        <v>월세</v>
      </c>
      <c r="I78" s="23" t="str">
        <f>VLOOKUP(H78,분류표[],2,0)</f>
        <v>주거/공과금</v>
      </c>
      <c r="J78" s="24">
        <f t="shared" si="2"/>
        <v>44586</v>
      </c>
      <c r="K78" s="23">
        <f t="shared" si="3"/>
        <v>15</v>
      </c>
      <c r="O78" s="1" t="s">
        <v>720</v>
      </c>
      <c r="P78" s="1" t="s">
        <v>564</v>
      </c>
    </row>
    <row r="79" spans="1:16">
      <c r="A79" s="21">
        <v>44586</v>
      </c>
      <c r="B79" s="20" t="s">
        <v>372</v>
      </c>
      <c r="C79" s="20" t="s">
        <v>462</v>
      </c>
      <c r="D79" s="22">
        <v>54500</v>
      </c>
      <c r="E79" s="22"/>
      <c r="F79" s="20" t="s">
        <v>487</v>
      </c>
      <c r="G79" s="22">
        <v>1925490</v>
      </c>
      <c r="H79" s="23" t="str" cm="1">
        <f t="array" ref="H79">IFERROR(INDEX(단어표[분류],MIN(IF(ISNUMBER(FIND(단어표[포함단어],표3[[#This Row],[내용]])),ROW(단어표[포함단어])-ROW(포함단어시작셀)+1,ROWS(단어표[포함단어])+1))),"")</f>
        <v>생명보험</v>
      </c>
      <c r="I79" s="23" t="str">
        <f>VLOOKUP(H79,분류표[],2,0)</f>
        <v>보험비</v>
      </c>
      <c r="J79" s="24">
        <f t="shared" si="2"/>
        <v>44586</v>
      </c>
      <c r="K79" s="23">
        <f t="shared" si="3"/>
        <v>18</v>
      </c>
      <c r="O79" s="1" t="s">
        <v>721</v>
      </c>
      <c r="P79" s="1" t="s">
        <v>586</v>
      </c>
    </row>
    <row r="80" spans="1:16">
      <c r="A80" s="21">
        <v>44586</v>
      </c>
      <c r="B80" s="20" t="s">
        <v>371</v>
      </c>
      <c r="C80" s="20" t="s">
        <v>529</v>
      </c>
      <c r="D80" s="22">
        <v>30600</v>
      </c>
      <c r="E80" s="22"/>
      <c r="F80" s="20" t="s">
        <v>491</v>
      </c>
      <c r="G80" s="22">
        <v>1894890</v>
      </c>
      <c r="H80" s="23" t="str" cm="1">
        <f t="array" ref="H80">IFERROR(INDEX(단어표[분류],MIN(IF(ISNUMBER(FIND(단어표[포함단어],표3[[#This Row],[내용]])),ROW(단어표[포함단어])-ROW(포함단어시작셀)+1,ROWS(단어표[포함단어])+1))),"")</f>
        <v>기부금</v>
      </c>
      <c r="I80" s="23" t="str">
        <f>VLOOKUP(H80,분류표[],2,0)</f>
        <v>경조사비</v>
      </c>
      <c r="J80" s="24">
        <f t="shared" si="2"/>
        <v>44586</v>
      </c>
      <c r="K80" s="23">
        <f t="shared" si="3"/>
        <v>19</v>
      </c>
      <c r="O80" s="1" t="s">
        <v>722</v>
      </c>
      <c r="P80" s="1" t="s">
        <v>583</v>
      </c>
    </row>
    <row r="81" spans="1:16">
      <c r="A81" s="21">
        <v>44586</v>
      </c>
      <c r="B81" s="20" t="s">
        <v>370</v>
      </c>
      <c r="C81" s="20" t="s">
        <v>527</v>
      </c>
      <c r="D81" s="22">
        <v>7700</v>
      </c>
      <c r="E81" s="22"/>
      <c r="F81" s="20" t="s">
        <v>471</v>
      </c>
      <c r="G81" s="22">
        <v>1887190</v>
      </c>
      <c r="H81" s="23" t="str" cm="1">
        <f t="array" ref="H81">IFERROR(INDEX(단어표[분류],MIN(IF(ISNUMBER(FIND(단어표[포함단어],표3[[#This Row],[내용]])),ROW(단어표[포함단어])-ROW(포함단어시작셀)+1,ROWS(단어표[포함단어])+1))),"")</f>
        <v>주식</v>
      </c>
      <c r="I81" s="23" t="str">
        <f>VLOOKUP(H81,분류표[],2,0)</f>
        <v>식비</v>
      </c>
      <c r="J81" s="24">
        <f t="shared" si="2"/>
        <v>44586</v>
      </c>
      <c r="K81" s="23">
        <f t="shared" si="3"/>
        <v>19</v>
      </c>
      <c r="O81" s="1" t="s">
        <v>723</v>
      </c>
      <c r="P81" s="1" t="s">
        <v>649</v>
      </c>
    </row>
    <row r="82" spans="1:16">
      <c r="A82" s="21">
        <v>44586</v>
      </c>
      <c r="B82" s="20" t="s">
        <v>369</v>
      </c>
      <c r="C82" s="20" t="s">
        <v>527</v>
      </c>
      <c r="D82" s="22">
        <v>800</v>
      </c>
      <c r="E82" s="22"/>
      <c r="F82" s="20" t="s">
        <v>471</v>
      </c>
      <c r="G82" s="22">
        <v>1886390</v>
      </c>
      <c r="H82" s="23" t="str" cm="1">
        <f t="array" ref="H82">IFERROR(INDEX(단어표[분류],MIN(IF(ISNUMBER(FIND(단어표[포함단어],표3[[#This Row],[내용]])),ROW(단어표[포함단어])-ROW(포함단어시작셀)+1,ROWS(단어표[포함단어])+1))),"")</f>
        <v>주식</v>
      </c>
      <c r="I82" s="23" t="str">
        <f>VLOOKUP(H82,분류표[],2,0)</f>
        <v>식비</v>
      </c>
      <c r="J82" s="24">
        <f t="shared" si="2"/>
        <v>44586</v>
      </c>
      <c r="K82" s="23">
        <f t="shared" si="3"/>
        <v>19</v>
      </c>
      <c r="O82" s="1" t="s">
        <v>724</v>
      </c>
      <c r="P82" s="1" t="s">
        <v>564</v>
      </c>
    </row>
    <row r="83" spans="1:16">
      <c r="A83" s="21">
        <v>44587</v>
      </c>
      <c r="B83" s="20" t="s">
        <v>368</v>
      </c>
      <c r="C83" s="20" t="s">
        <v>527</v>
      </c>
      <c r="D83" s="22">
        <v>4100</v>
      </c>
      <c r="E83" s="22"/>
      <c r="F83" s="20" t="s">
        <v>492</v>
      </c>
      <c r="G83" s="22">
        <v>1882290</v>
      </c>
      <c r="H83" s="23" t="str" cm="1">
        <f t="array" ref="H83">IFERROR(INDEX(단어표[분류],MIN(IF(ISNUMBER(FIND(단어표[포함단어],표3[[#This Row],[내용]])),ROW(단어표[포함단어])-ROW(포함단어시작셀)+1,ROWS(단어표[포함단어])+1))),"")</f>
        <v>기타식료품</v>
      </c>
      <c r="I83" s="23" t="str">
        <f>VLOOKUP(H83,분류표[],2,0)</f>
        <v>식비</v>
      </c>
      <c r="J83" s="24">
        <f t="shared" si="2"/>
        <v>44587</v>
      </c>
      <c r="K83" s="23">
        <f t="shared" si="3"/>
        <v>4</v>
      </c>
      <c r="O83" s="1" t="s">
        <v>725</v>
      </c>
      <c r="P83" s="1" t="s">
        <v>563</v>
      </c>
    </row>
    <row r="84" spans="1:16">
      <c r="A84" s="21">
        <v>44587</v>
      </c>
      <c r="B84" s="20" t="s">
        <v>367</v>
      </c>
      <c r="C84" s="20" t="s">
        <v>529</v>
      </c>
      <c r="D84" s="22">
        <v>19000</v>
      </c>
      <c r="E84" s="22"/>
      <c r="F84" s="20" t="s">
        <v>600</v>
      </c>
      <c r="G84" s="22">
        <v>1863290</v>
      </c>
      <c r="H84" s="23" t="str" cm="1">
        <f t="array" ref="H84">IFERROR(INDEX(단어표[분류],MIN(IF(ISNUMBER(FIND(단어표[포함단어],표3[[#This Row],[내용]])),ROW(단어표[포함단어])-ROW(포함단어시작셀)+1,ROWS(단어표[포함단어])+1))),"")</f>
        <v>주식</v>
      </c>
      <c r="I84" s="23" t="str">
        <f>VLOOKUP(H84,분류표[],2,0)</f>
        <v>식비</v>
      </c>
      <c r="J84" s="24">
        <f t="shared" si="2"/>
        <v>44587</v>
      </c>
      <c r="K84" s="23">
        <f t="shared" si="3"/>
        <v>5</v>
      </c>
      <c r="O84" s="1" t="s">
        <v>726</v>
      </c>
      <c r="P84" s="1" t="s">
        <v>624</v>
      </c>
    </row>
    <row r="85" spans="1:16">
      <c r="A85" s="21">
        <v>44587</v>
      </c>
      <c r="B85" s="20" t="s">
        <v>366</v>
      </c>
      <c r="C85" s="20" t="s">
        <v>19</v>
      </c>
      <c r="D85" s="22">
        <v>1900</v>
      </c>
      <c r="E85" s="22"/>
      <c r="F85" s="20" t="s">
        <v>517</v>
      </c>
      <c r="G85" s="22">
        <v>1861390</v>
      </c>
      <c r="H85" s="23" t="str" cm="1">
        <f t="array" ref="H85">IFERROR(INDEX(단어표[분류],MIN(IF(ISNUMBER(FIND(단어표[포함단어],표3[[#This Row],[내용]])),ROW(단어표[포함단어])-ROW(포함단어시작셀)+1,ROWS(단어표[포함단어])+1))),"")</f>
        <v>휴대폰</v>
      </c>
      <c r="I85" s="23" t="str">
        <f>VLOOKUP(H85,분류표[],2,0)</f>
        <v>통신비</v>
      </c>
      <c r="J85" s="24">
        <f t="shared" si="2"/>
        <v>44587</v>
      </c>
      <c r="K85" s="23">
        <f t="shared" si="3"/>
        <v>7</v>
      </c>
      <c r="O85" s="1" t="s">
        <v>727</v>
      </c>
      <c r="P85" s="1" t="s">
        <v>563</v>
      </c>
    </row>
    <row r="86" spans="1:16">
      <c r="A86" s="21">
        <v>44588</v>
      </c>
      <c r="B86" s="20" t="s">
        <v>365</v>
      </c>
      <c r="C86" s="20" t="s">
        <v>527</v>
      </c>
      <c r="D86" s="22">
        <v>4500</v>
      </c>
      <c r="E86" s="22"/>
      <c r="F86" s="20" t="s">
        <v>450</v>
      </c>
      <c r="G86" s="22">
        <v>1856890</v>
      </c>
      <c r="H86" s="23" t="str" cm="1">
        <f t="array" ref="H86">IFERROR(INDEX(단어표[분류],MIN(IF(ISNUMBER(FIND(단어표[포함단어],표3[[#This Row],[내용]])),ROW(단어표[포함단어])-ROW(포함단어시작셀)+1,ROWS(단어표[포함단어])+1))),"")</f>
        <v>기타생활비</v>
      </c>
      <c r="I86" s="23" t="str">
        <f>VLOOKUP(H86,분류표[],2,0)</f>
        <v>생활비</v>
      </c>
      <c r="J86" s="24">
        <f t="shared" si="2"/>
        <v>44588</v>
      </c>
      <c r="K86" s="23">
        <f t="shared" si="3"/>
        <v>14</v>
      </c>
      <c r="O86" s="1" t="s">
        <v>728</v>
      </c>
      <c r="P86" s="1" t="s">
        <v>564</v>
      </c>
    </row>
    <row r="87" spans="1:16">
      <c r="A87" s="21">
        <v>44588</v>
      </c>
      <c r="B87" s="20" t="s">
        <v>365</v>
      </c>
      <c r="C87" s="20" t="s">
        <v>527</v>
      </c>
      <c r="D87" s="22">
        <v>100</v>
      </c>
      <c r="E87" s="22"/>
      <c r="F87" s="20" t="s">
        <v>450</v>
      </c>
      <c r="G87" s="22">
        <v>1856790</v>
      </c>
      <c r="H87" s="23" t="str" cm="1">
        <f t="array" ref="H87">IFERROR(INDEX(단어표[분류],MIN(IF(ISNUMBER(FIND(단어표[포함단어],표3[[#This Row],[내용]])),ROW(단어표[포함단어])-ROW(포함단어시작셀)+1,ROWS(단어표[포함단어])+1))),"")</f>
        <v>기타생활비</v>
      </c>
      <c r="I87" s="23" t="str">
        <f>VLOOKUP(H87,분류표[],2,0)</f>
        <v>생활비</v>
      </c>
      <c r="J87" s="24">
        <f t="shared" si="2"/>
        <v>44588</v>
      </c>
      <c r="K87" s="23">
        <f t="shared" si="3"/>
        <v>14</v>
      </c>
      <c r="O87" s="1" t="s">
        <v>729</v>
      </c>
      <c r="P87" s="1" t="s">
        <v>586</v>
      </c>
    </row>
    <row r="88" spans="1:16">
      <c r="A88" s="21">
        <v>44588</v>
      </c>
      <c r="B88" s="20" t="s">
        <v>364</v>
      </c>
      <c r="C88" s="20" t="s">
        <v>527</v>
      </c>
      <c r="D88" s="22">
        <v>12600</v>
      </c>
      <c r="E88" s="22"/>
      <c r="F88" s="20" t="s">
        <v>484</v>
      </c>
      <c r="G88" s="22">
        <v>1844190</v>
      </c>
      <c r="H88" s="23" t="str" cm="1">
        <f t="array" ref="H88">IFERROR(INDEX(단어표[분류],MIN(IF(ISNUMBER(FIND(단어표[포함단어],표3[[#This Row],[내용]])),ROW(단어표[포함단어])-ROW(포함단어시작셀)+1,ROWS(단어표[포함단어])+1))),"")</f>
        <v>주식</v>
      </c>
      <c r="I88" s="23" t="str">
        <f>VLOOKUP(H88,분류표[],2,0)</f>
        <v>식비</v>
      </c>
      <c r="J88" s="24">
        <f t="shared" si="2"/>
        <v>44588</v>
      </c>
      <c r="K88" s="23">
        <f t="shared" si="3"/>
        <v>15</v>
      </c>
      <c r="O88" s="1" t="s">
        <v>730</v>
      </c>
      <c r="P88" s="1" t="s">
        <v>564</v>
      </c>
    </row>
    <row r="89" spans="1:16">
      <c r="A89" s="21">
        <v>44588</v>
      </c>
      <c r="B89" s="20" t="s">
        <v>363</v>
      </c>
      <c r="C89" s="20" t="s">
        <v>529</v>
      </c>
      <c r="D89" s="22">
        <v>16600</v>
      </c>
      <c r="E89" s="22"/>
      <c r="F89" s="20" t="s">
        <v>465</v>
      </c>
      <c r="G89" s="22">
        <v>1827590</v>
      </c>
      <c r="H89" s="23" t="str" cm="1">
        <f t="array" ref="H89">IFERROR(INDEX(단어표[분류],MIN(IF(ISNUMBER(FIND(단어표[포함단어],표3[[#This Row],[내용]])),ROW(단어표[포함단어])-ROW(포함단어시작셀)+1,ROWS(단어표[포함단어])+1))),"")</f>
        <v>주식</v>
      </c>
      <c r="I89" s="23" t="str">
        <f>VLOOKUP(H89,분류표[],2,0)</f>
        <v>식비</v>
      </c>
      <c r="J89" s="24">
        <f t="shared" si="2"/>
        <v>44588</v>
      </c>
      <c r="K89" s="23">
        <f t="shared" si="3"/>
        <v>19</v>
      </c>
    </row>
    <row r="90" spans="1:16">
      <c r="A90" s="21">
        <v>44588</v>
      </c>
      <c r="B90" s="20" t="s">
        <v>362</v>
      </c>
      <c r="C90" s="20" t="s">
        <v>527</v>
      </c>
      <c r="D90" s="22">
        <v>3700</v>
      </c>
      <c r="E90" s="22"/>
      <c r="F90" s="20" t="s">
        <v>455</v>
      </c>
      <c r="G90" s="22">
        <v>1823890</v>
      </c>
      <c r="H90" s="23" t="str" cm="1">
        <f t="array" ref="H90">IFERROR(INDEX(단어표[분류],MIN(IF(ISNUMBER(FIND(단어표[포함단어],표3[[#This Row],[내용]])),ROW(단어표[포함단어])-ROW(포함단어시작셀)+1,ROWS(단어표[포함단어])+1))),"")</f>
        <v>주식</v>
      </c>
      <c r="I90" s="23" t="str">
        <f>VLOOKUP(H90,분류표[],2,0)</f>
        <v>식비</v>
      </c>
      <c r="J90" s="24">
        <f t="shared" si="2"/>
        <v>44588</v>
      </c>
      <c r="K90" s="23">
        <f t="shared" si="3"/>
        <v>20</v>
      </c>
    </row>
    <row r="91" spans="1:16">
      <c r="A91" s="21">
        <v>44589</v>
      </c>
      <c r="B91" s="20" t="s">
        <v>361</v>
      </c>
      <c r="C91" s="20" t="s">
        <v>527</v>
      </c>
      <c r="D91" s="22">
        <v>8100</v>
      </c>
      <c r="E91" s="22"/>
      <c r="F91" s="20" t="s">
        <v>492</v>
      </c>
      <c r="G91" s="22">
        <v>1815790</v>
      </c>
      <c r="H91" s="23" t="str" cm="1">
        <f t="array" ref="H91">IFERROR(INDEX(단어표[분류],MIN(IF(ISNUMBER(FIND(단어표[포함단어],표3[[#This Row],[내용]])),ROW(단어표[포함단어])-ROW(포함단어시작셀)+1,ROWS(단어표[포함단어])+1))),"")</f>
        <v>기타식료품</v>
      </c>
      <c r="I91" s="23" t="str">
        <f>VLOOKUP(H91,분류표[],2,0)</f>
        <v>식비</v>
      </c>
      <c r="J91" s="24">
        <f t="shared" si="2"/>
        <v>44589</v>
      </c>
      <c r="K91" s="23">
        <f t="shared" si="3"/>
        <v>0</v>
      </c>
    </row>
    <row r="92" spans="1:16">
      <c r="A92" s="21">
        <v>44589</v>
      </c>
      <c r="B92" s="20" t="s">
        <v>360</v>
      </c>
      <c r="C92" s="20" t="s">
        <v>527</v>
      </c>
      <c r="D92" s="22">
        <v>11700</v>
      </c>
      <c r="E92" s="22"/>
      <c r="F92" s="20" t="s">
        <v>452</v>
      </c>
      <c r="G92" s="22">
        <v>1804090</v>
      </c>
      <c r="H92" s="23" t="str" cm="1">
        <f t="array" ref="H92">IFERROR(INDEX(단어표[분류],MIN(IF(ISNUMBER(FIND(단어표[포함단어],표3[[#This Row],[내용]])),ROW(단어표[포함단어])-ROW(포함단어시작셀)+1,ROWS(단어표[포함단어])+1))),"")</f>
        <v>선물</v>
      </c>
      <c r="I92" s="23" t="str">
        <f>VLOOKUP(H92,분류표[],2,0)</f>
        <v>경조사비</v>
      </c>
      <c r="J92" s="24">
        <f t="shared" si="2"/>
        <v>44589</v>
      </c>
      <c r="K92" s="23">
        <f t="shared" si="3"/>
        <v>7</v>
      </c>
    </row>
    <row r="93" spans="1:16">
      <c r="A93" s="21">
        <v>44589</v>
      </c>
      <c r="B93" s="20" t="s">
        <v>359</v>
      </c>
      <c r="C93" s="20" t="s">
        <v>529</v>
      </c>
      <c r="D93" s="22">
        <v>3400</v>
      </c>
      <c r="E93" s="22"/>
      <c r="F93" s="20" t="s">
        <v>451</v>
      </c>
      <c r="G93" s="22">
        <v>1800690</v>
      </c>
      <c r="H93" s="23" t="str" cm="1">
        <f t="array" ref="H93">IFERROR(INDEX(단어표[분류],MIN(IF(ISNUMBER(FIND(단어표[포함단어],표3[[#This Row],[내용]])),ROW(단어표[포함단어])-ROW(포함단어시작셀)+1,ROWS(단어표[포함단어])+1))),"")</f>
        <v>생활용품</v>
      </c>
      <c r="I93" s="23" t="str">
        <f>VLOOKUP(H93,분류표[],2,0)</f>
        <v>생활비</v>
      </c>
      <c r="J93" s="24">
        <f t="shared" si="2"/>
        <v>44589</v>
      </c>
      <c r="K93" s="23">
        <f t="shared" si="3"/>
        <v>15</v>
      </c>
    </row>
    <row r="94" spans="1:16">
      <c r="A94" s="21">
        <v>44589</v>
      </c>
      <c r="B94" s="20" t="s">
        <v>358</v>
      </c>
      <c r="C94" s="20" t="s">
        <v>527</v>
      </c>
      <c r="D94" s="22">
        <v>2400</v>
      </c>
      <c r="E94" s="22"/>
      <c r="F94" s="20" t="s">
        <v>496</v>
      </c>
      <c r="G94" s="22">
        <v>1798290</v>
      </c>
      <c r="H94" s="23" t="str" cm="1">
        <f t="array" ref="H94">IFERROR(INDEX(단어표[분류],MIN(IF(ISNUMBER(FIND(단어표[포함단어],표3[[#This Row],[내용]])),ROW(단어표[포함단어])-ROW(포함단어시작셀)+1,ROWS(단어표[포함단어])+1))),"")</f>
        <v>기타생활비</v>
      </c>
      <c r="I94" s="23" t="str">
        <f>VLOOKUP(H94,분류표[],2,0)</f>
        <v>생활비</v>
      </c>
      <c r="J94" s="24">
        <f t="shared" si="2"/>
        <v>44589</v>
      </c>
      <c r="K94" s="23">
        <f t="shared" si="3"/>
        <v>21</v>
      </c>
    </row>
    <row r="95" spans="1:16">
      <c r="A95" s="21">
        <v>44590</v>
      </c>
      <c r="B95" s="20" t="s">
        <v>357</v>
      </c>
      <c r="C95" s="20" t="s">
        <v>527</v>
      </c>
      <c r="D95" s="22">
        <v>58600</v>
      </c>
      <c r="E95" s="22"/>
      <c r="F95" s="20" t="s">
        <v>601</v>
      </c>
      <c r="G95" s="22">
        <v>1739690</v>
      </c>
      <c r="H95" s="23" t="str" cm="1">
        <f t="array" ref="H95">IFERROR(INDEX(단어표[분류],MIN(IF(ISNUMBER(FIND(단어표[포함단어],표3[[#This Row],[내용]])),ROW(단어표[포함단어])-ROW(포함단어시작셀)+1,ROWS(단어표[포함단어])+1))),"")</f>
        <v>주식</v>
      </c>
      <c r="I95" s="23" t="str">
        <f>VLOOKUP(H95,분류표[],2,0)</f>
        <v>식비</v>
      </c>
      <c r="J95" s="24">
        <f t="shared" si="2"/>
        <v>44590</v>
      </c>
      <c r="K95" s="23">
        <f t="shared" si="3"/>
        <v>8</v>
      </c>
    </row>
    <row r="96" spans="1:16">
      <c r="A96" s="21">
        <v>44590</v>
      </c>
      <c r="B96" s="20" t="s">
        <v>356</v>
      </c>
      <c r="C96" s="20" t="s">
        <v>527</v>
      </c>
      <c r="D96" s="22">
        <v>7400</v>
      </c>
      <c r="E96" s="22"/>
      <c r="F96" s="20" t="s">
        <v>480</v>
      </c>
      <c r="G96" s="22">
        <v>1732290</v>
      </c>
      <c r="H96" s="23" t="str" cm="1">
        <f t="array" ref="H96">IFERROR(INDEX(단어표[분류],MIN(IF(ISNUMBER(FIND(단어표[포함단어],표3[[#This Row],[내용]])),ROW(단어표[포함단어])-ROW(포함단어시작셀)+1,ROWS(단어표[포함단어])+1))),"")</f>
        <v>주식</v>
      </c>
      <c r="I96" s="23" t="str">
        <f>VLOOKUP(H96,분류표[],2,0)</f>
        <v>식비</v>
      </c>
      <c r="J96" s="24">
        <f t="shared" si="2"/>
        <v>44590</v>
      </c>
      <c r="K96" s="23">
        <f t="shared" si="3"/>
        <v>13</v>
      </c>
    </row>
    <row r="97" spans="1:11">
      <c r="A97" s="21">
        <v>44590</v>
      </c>
      <c r="B97" s="20" t="s">
        <v>355</v>
      </c>
      <c r="C97" s="20" t="s">
        <v>527</v>
      </c>
      <c r="D97" s="22">
        <v>1500</v>
      </c>
      <c r="E97" s="22"/>
      <c r="F97" s="20" t="s">
        <v>476</v>
      </c>
      <c r="G97" s="22">
        <v>1730790</v>
      </c>
      <c r="H97" s="23" t="str" cm="1">
        <f t="array" ref="H97">IFERROR(INDEX(단어표[분류],MIN(IF(ISNUMBER(FIND(단어표[포함단어],표3[[#This Row],[내용]])),ROW(단어표[포함단어])-ROW(포함단어시작셀)+1,ROWS(단어표[포함단어])+1))),"")</f>
        <v>생활용품</v>
      </c>
      <c r="I97" s="23" t="str">
        <f>VLOOKUP(H97,분류표[],2,0)</f>
        <v>생활비</v>
      </c>
      <c r="J97" s="24">
        <f t="shared" si="2"/>
        <v>44590</v>
      </c>
      <c r="K97" s="23">
        <f t="shared" si="3"/>
        <v>19</v>
      </c>
    </row>
    <row r="98" spans="1:11">
      <c r="A98" s="21">
        <v>44591</v>
      </c>
      <c r="B98" s="20" t="s">
        <v>354</v>
      </c>
      <c r="C98" s="20" t="s">
        <v>527</v>
      </c>
      <c r="D98" s="22">
        <v>9200</v>
      </c>
      <c r="E98" s="22"/>
      <c r="F98" s="20" t="s">
        <v>494</v>
      </c>
      <c r="G98" s="22">
        <v>1721590</v>
      </c>
      <c r="H98" s="23" t="str" cm="1">
        <f t="array" ref="H98">IFERROR(INDEX(단어표[분류],MIN(IF(ISNUMBER(FIND(단어표[포함단어],표3[[#This Row],[내용]])),ROW(단어표[포함단어])-ROW(포함단어시작셀)+1,ROWS(단어표[포함단어])+1))),"")</f>
        <v>커피</v>
      </c>
      <c r="I98" s="23" t="str">
        <f>VLOOKUP(H98,분류표[],2,0)</f>
        <v>식비</v>
      </c>
      <c r="J98" s="24">
        <f t="shared" si="2"/>
        <v>44591</v>
      </c>
      <c r="K98" s="23">
        <f t="shared" si="3"/>
        <v>11</v>
      </c>
    </row>
    <row r="99" spans="1:11">
      <c r="A99" s="21">
        <v>44591</v>
      </c>
      <c r="B99" s="20" t="s">
        <v>353</v>
      </c>
      <c r="C99" s="20" t="s">
        <v>527</v>
      </c>
      <c r="D99" s="22">
        <v>5100</v>
      </c>
      <c r="E99" s="22"/>
      <c r="F99" s="20" t="s">
        <v>493</v>
      </c>
      <c r="G99" s="22">
        <v>1716490</v>
      </c>
      <c r="H99" s="23" t="str" cm="1">
        <f t="array" ref="H99">IFERROR(INDEX(단어표[분류],MIN(IF(ISNUMBER(FIND(단어표[포함단어],표3[[#This Row],[내용]])),ROW(단어표[포함단어])-ROW(포함단어시작셀)+1,ROWS(단어표[포함단어])+1))),"")</f>
        <v>커피</v>
      </c>
      <c r="I99" s="23" t="str">
        <f>VLOOKUP(H99,분류표[],2,0)</f>
        <v>식비</v>
      </c>
      <c r="J99" s="24">
        <f t="shared" si="2"/>
        <v>44591</v>
      </c>
      <c r="K99" s="23">
        <f t="shared" si="3"/>
        <v>17</v>
      </c>
    </row>
    <row r="100" spans="1:11">
      <c r="A100" s="21">
        <v>44591</v>
      </c>
      <c r="B100" s="20" t="s">
        <v>352</v>
      </c>
      <c r="C100" s="20" t="s">
        <v>527</v>
      </c>
      <c r="D100" s="22">
        <v>5600</v>
      </c>
      <c r="E100" s="22"/>
      <c r="F100" s="20" t="s">
        <v>515</v>
      </c>
      <c r="G100" s="22">
        <v>1710890</v>
      </c>
      <c r="H100" s="23" t="str" cm="1">
        <f t="array" ref="H100">IFERROR(INDEX(단어표[분류],MIN(IF(ISNUMBER(FIND(단어표[포함단어],표3[[#This Row],[내용]])),ROW(단어표[포함단어])-ROW(포함단어시작셀)+1,ROWS(단어표[포함단어])+1))),"")</f>
        <v>커피</v>
      </c>
      <c r="I100" s="23" t="str">
        <f>VLOOKUP(H100,분류표[],2,0)</f>
        <v>식비</v>
      </c>
      <c r="J100" s="24">
        <f t="shared" si="2"/>
        <v>44591</v>
      </c>
      <c r="K100" s="23">
        <f t="shared" si="3"/>
        <v>20</v>
      </c>
    </row>
    <row r="101" spans="1:11">
      <c r="A101" s="21">
        <v>44591</v>
      </c>
      <c r="B101" s="20" t="s">
        <v>351</v>
      </c>
      <c r="C101" s="20" t="s">
        <v>527</v>
      </c>
      <c r="D101" s="22">
        <v>1100</v>
      </c>
      <c r="E101" s="22"/>
      <c r="F101" s="20" t="s">
        <v>493</v>
      </c>
      <c r="G101" s="22">
        <v>1709790</v>
      </c>
      <c r="H101" s="23" t="str" cm="1">
        <f t="array" ref="H101">IFERROR(INDEX(단어표[분류],MIN(IF(ISNUMBER(FIND(단어표[포함단어],표3[[#This Row],[내용]])),ROW(단어표[포함단어])-ROW(포함단어시작셀)+1,ROWS(단어표[포함단어])+1))),"")</f>
        <v>커피</v>
      </c>
      <c r="I101" s="23" t="str">
        <f>VLOOKUP(H101,분류표[],2,0)</f>
        <v>식비</v>
      </c>
      <c r="J101" s="24">
        <f t="shared" si="2"/>
        <v>44591</v>
      </c>
      <c r="K101" s="23">
        <f t="shared" si="3"/>
        <v>20</v>
      </c>
    </row>
    <row r="102" spans="1:11">
      <c r="A102" s="21">
        <v>44591</v>
      </c>
      <c r="B102" s="20" t="s">
        <v>350</v>
      </c>
      <c r="C102" s="20" t="s">
        <v>527</v>
      </c>
      <c r="D102" s="22">
        <v>10800</v>
      </c>
      <c r="E102" s="22"/>
      <c r="F102" s="20" t="s">
        <v>492</v>
      </c>
      <c r="G102" s="22">
        <v>1698990</v>
      </c>
      <c r="H102" s="23" t="str" cm="1">
        <f t="array" ref="H102">IFERROR(INDEX(단어표[분류],MIN(IF(ISNUMBER(FIND(단어표[포함단어],표3[[#This Row],[내용]])),ROW(단어표[포함단어])-ROW(포함단어시작셀)+1,ROWS(단어표[포함단어])+1))),"")</f>
        <v>기타식료품</v>
      </c>
      <c r="I102" s="23" t="str">
        <f>VLOOKUP(H102,분류표[],2,0)</f>
        <v>식비</v>
      </c>
      <c r="J102" s="24">
        <f t="shared" si="2"/>
        <v>44591</v>
      </c>
      <c r="K102" s="23">
        <f t="shared" si="3"/>
        <v>20</v>
      </c>
    </row>
    <row r="103" spans="1:11">
      <c r="A103" s="21">
        <v>44591</v>
      </c>
      <c r="B103" s="20" t="s">
        <v>349</v>
      </c>
      <c r="C103" s="20" t="s">
        <v>527</v>
      </c>
      <c r="D103" s="22">
        <v>2100</v>
      </c>
      <c r="E103" s="22"/>
      <c r="F103" s="20" t="s">
        <v>31</v>
      </c>
      <c r="G103" s="22">
        <v>1696890</v>
      </c>
      <c r="H103" s="23" t="str" cm="1">
        <f t="array" ref="H103">IFERROR(INDEX(단어표[분류],MIN(IF(ISNUMBER(FIND(단어표[포함단어],표3[[#This Row],[내용]])),ROW(단어표[포함단어])-ROW(포함단어시작셀)+1,ROWS(단어표[포함단어])+1))),"")</f>
        <v>구독서비스</v>
      </c>
      <c r="I103" s="23" t="str">
        <f>VLOOKUP(H103,분류표[],2,0)</f>
        <v>생활비</v>
      </c>
      <c r="J103" s="24">
        <f t="shared" si="2"/>
        <v>44591</v>
      </c>
      <c r="K103" s="23">
        <f t="shared" si="3"/>
        <v>20</v>
      </c>
    </row>
    <row r="104" spans="1:11">
      <c r="A104" s="21">
        <v>44592</v>
      </c>
      <c r="B104" s="20" t="s">
        <v>348</v>
      </c>
      <c r="C104" s="20" t="s">
        <v>527</v>
      </c>
      <c r="D104" s="22">
        <v>13000</v>
      </c>
      <c r="E104" s="22"/>
      <c r="F104" s="20" t="s">
        <v>602</v>
      </c>
      <c r="G104" s="22">
        <v>1683890</v>
      </c>
      <c r="H104" s="23" t="str" cm="1">
        <f t="array" ref="H104">IFERROR(INDEX(단어표[분류],MIN(IF(ISNUMBER(FIND(단어표[포함단어],표3[[#This Row],[내용]])),ROW(단어표[포함단어])-ROW(포함단어시작셀)+1,ROWS(단어표[포함단어])+1))),"")</f>
        <v>주식</v>
      </c>
      <c r="I104" s="23" t="str">
        <f>VLOOKUP(H104,분류표[],2,0)</f>
        <v>식비</v>
      </c>
      <c r="J104" s="24">
        <f t="shared" si="2"/>
        <v>44592</v>
      </c>
      <c r="K104" s="23">
        <f t="shared" si="3"/>
        <v>14</v>
      </c>
    </row>
    <row r="105" spans="1:11">
      <c r="A105" s="21">
        <v>44593</v>
      </c>
      <c r="B105" s="20" t="s">
        <v>347</v>
      </c>
      <c r="C105" s="20" t="s">
        <v>527</v>
      </c>
      <c r="D105" s="22">
        <v>27800</v>
      </c>
      <c r="E105" s="22"/>
      <c r="F105" s="20" t="s">
        <v>449</v>
      </c>
      <c r="G105" s="22">
        <v>1656090</v>
      </c>
      <c r="H105" s="23" t="str" cm="1">
        <f t="array" ref="H105">IFERROR(INDEX(단어표[분류],MIN(IF(ISNUMBER(FIND(단어표[포함단어],표3[[#This Row],[내용]])),ROW(단어표[포함단어])-ROW(포함단어시작셀)+1,ROWS(단어표[포함단어])+1))),"")</f>
        <v>주식</v>
      </c>
      <c r="I105" s="23" t="str">
        <f>VLOOKUP(H105,분류표[],2,0)</f>
        <v>식비</v>
      </c>
      <c r="J105" s="24">
        <f t="shared" si="2"/>
        <v>44593</v>
      </c>
      <c r="K105" s="23">
        <f t="shared" si="3"/>
        <v>15</v>
      </c>
    </row>
    <row r="106" spans="1:11">
      <c r="A106" s="21">
        <v>44593</v>
      </c>
      <c r="B106" s="20" t="s">
        <v>346</v>
      </c>
      <c r="C106" s="20" t="s">
        <v>527</v>
      </c>
      <c r="D106" s="22">
        <v>8800</v>
      </c>
      <c r="E106" s="22"/>
      <c r="F106" s="20" t="s">
        <v>492</v>
      </c>
      <c r="G106" s="22">
        <v>1647290</v>
      </c>
      <c r="H106" s="23" t="str" cm="1">
        <f t="array" ref="H106">IFERROR(INDEX(단어표[분류],MIN(IF(ISNUMBER(FIND(단어표[포함단어],표3[[#This Row],[내용]])),ROW(단어표[포함단어])-ROW(포함단어시작셀)+1,ROWS(단어표[포함단어])+1))),"")</f>
        <v>기타식료품</v>
      </c>
      <c r="I106" s="23" t="str">
        <f>VLOOKUP(H106,분류표[],2,0)</f>
        <v>식비</v>
      </c>
      <c r="J106" s="24">
        <f t="shared" si="2"/>
        <v>44593</v>
      </c>
      <c r="K106" s="23">
        <f t="shared" si="3"/>
        <v>22</v>
      </c>
    </row>
    <row r="107" spans="1:11">
      <c r="A107" s="21">
        <v>44594</v>
      </c>
      <c r="B107" s="20" t="s">
        <v>345</v>
      </c>
      <c r="C107" s="20" t="s">
        <v>527</v>
      </c>
      <c r="D107" s="22">
        <v>13900</v>
      </c>
      <c r="E107" s="22"/>
      <c r="F107" s="20" t="s">
        <v>518</v>
      </c>
      <c r="G107" s="22">
        <v>1633390</v>
      </c>
      <c r="H107" s="23" t="str" cm="1">
        <f t="array" ref="H107">IFERROR(INDEX(단어표[분류],MIN(IF(ISNUMBER(FIND(단어표[포함단어],표3[[#This Row],[내용]])),ROW(단어표[포함단어])-ROW(포함단어시작셀)+1,ROWS(단어표[포함단어])+1))),"")</f>
        <v>주식</v>
      </c>
      <c r="I107" s="23" t="str">
        <f>VLOOKUP(H107,분류표[],2,0)</f>
        <v>식비</v>
      </c>
      <c r="J107" s="24">
        <f t="shared" si="2"/>
        <v>44594</v>
      </c>
      <c r="K107" s="23">
        <f t="shared" si="3"/>
        <v>15</v>
      </c>
    </row>
    <row r="108" spans="1:11">
      <c r="A108" s="21">
        <v>44595</v>
      </c>
      <c r="B108" s="20" t="s">
        <v>344</v>
      </c>
      <c r="C108" s="20" t="s">
        <v>462</v>
      </c>
      <c r="D108" s="22">
        <v>18800</v>
      </c>
      <c r="E108" s="22"/>
      <c r="F108" s="20" t="s">
        <v>490</v>
      </c>
      <c r="G108" s="22">
        <v>1614590</v>
      </c>
      <c r="H108" s="23" t="str" cm="1">
        <f t="array" ref="H108">IFERROR(INDEX(단어표[분류],MIN(IF(ISNUMBER(FIND(단어표[포함단어],표3[[#This Row],[내용]])),ROW(단어표[포함단어])-ROW(포함단어시작셀)+1,ROWS(단어표[포함단어])+1))),"")</f>
        <v>건강보험</v>
      </c>
      <c r="I108" s="23" t="str">
        <f>VLOOKUP(H108,분류표[],2,0)</f>
        <v>보험비</v>
      </c>
      <c r="J108" s="24">
        <f t="shared" si="2"/>
        <v>44595</v>
      </c>
      <c r="K108" s="23">
        <f t="shared" si="3"/>
        <v>7</v>
      </c>
    </row>
    <row r="109" spans="1:11">
      <c r="A109" s="21">
        <v>44595</v>
      </c>
      <c r="B109" s="20" t="s">
        <v>343</v>
      </c>
      <c r="C109" s="20" t="s">
        <v>527</v>
      </c>
      <c r="D109" s="22">
        <v>4300</v>
      </c>
      <c r="E109" s="22"/>
      <c r="F109" s="20" t="s">
        <v>31</v>
      </c>
      <c r="G109" s="22">
        <v>1610290</v>
      </c>
      <c r="H109" s="23" t="str" cm="1">
        <f t="array" ref="H109">IFERROR(INDEX(단어표[분류],MIN(IF(ISNUMBER(FIND(단어표[포함단어],표3[[#This Row],[내용]])),ROW(단어표[포함단어])-ROW(포함단어시작셀)+1,ROWS(단어표[포함단어])+1))),"")</f>
        <v>구독서비스</v>
      </c>
      <c r="I109" s="23" t="str">
        <f>VLOOKUP(H109,분류표[],2,0)</f>
        <v>생활비</v>
      </c>
      <c r="J109" s="24">
        <f t="shared" si="2"/>
        <v>44595</v>
      </c>
      <c r="K109" s="23">
        <f t="shared" si="3"/>
        <v>14</v>
      </c>
    </row>
    <row r="110" spans="1:11">
      <c r="A110" s="21">
        <v>44595</v>
      </c>
      <c r="B110" s="20" t="s">
        <v>342</v>
      </c>
      <c r="C110" s="20" t="s">
        <v>527</v>
      </c>
      <c r="D110" s="22">
        <v>18400</v>
      </c>
      <c r="E110" s="22"/>
      <c r="F110" s="20" t="s">
        <v>603</v>
      </c>
      <c r="G110" s="22">
        <v>1591890</v>
      </c>
      <c r="H110" s="23" t="str" cm="1">
        <f t="array" ref="H110">IFERROR(INDEX(단어표[분류],MIN(IF(ISNUMBER(FIND(단어표[포함단어],표3[[#This Row],[내용]])),ROW(단어표[포함단어])-ROW(포함단어시작셀)+1,ROWS(단어표[포함단어])+1))),"")</f>
        <v>주식</v>
      </c>
      <c r="I110" s="23" t="str">
        <f>VLOOKUP(H110,분류표[],2,0)</f>
        <v>식비</v>
      </c>
      <c r="J110" s="24">
        <f t="shared" si="2"/>
        <v>44595</v>
      </c>
      <c r="K110" s="23">
        <f t="shared" si="3"/>
        <v>20</v>
      </c>
    </row>
    <row r="111" spans="1:11">
      <c r="A111" s="21">
        <v>44596</v>
      </c>
      <c r="B111" s="20" t="s">
        <v>437</v>
      </c>
      <c r="C111" s="20" t="s">
        <v>642</v>
      </c>
      <c r="D111" s="22"/>
      <c r="E111" s="22">
        <v>165590</v>
      </c>
      <c r="F111" s="20" t="s">
        <v>643</v>
      </c>
      <c r="G111" s="22">
        <v>1757480</v>
      </c>
      <c r="H111" s="23" t="str" cm="1">
        <f t="array" ref="H111">IFERROR(INDEX(단어표[분류],MIN(IF(ISNUMBER(FIND(단어표[포함단어],표3[[#This Row],[내용]])),ROW(단어표[포함단어])-ROW(포함단어시작셀)+1,ROWS(단어표[포함단어])+1))),"")</f>
        <v>금융이익</v>
      </c>
      <c r="I111" s="23" t="str">
        <f>VLOOKUP(H111,분류표[],2,0)</f>
        <v>수입</v>
      </c>
      <c r="J111" s="24">
        <f t="shared" si="2"/>
        <v>44596</v>
      </c>
      <c r="K111" s="23">
        <f t="shared" si="3"/>
        <v>0</v>
      </c>
    </row>
    <row r="112" spans="1:11">
      <c r="A112" s="21">
        <v>44596</v>
      </c>
      <c r="B112" s="20" t="s">
        <v>341</v>
      </c>
      <c r="C112" s="20" t="s">
        <v>527</v>
      </c>
      <c r="D112" s="22">
        <v>38000</v>
      </c>
      <c r="E112" s="22"/>
      <c r="F112" s="20" t="s">
        <v>597</v>
      </c>
      <c r="G112" s="22">
        <v>1719480</v>
      </c>
      <c r="H112" s="23" t="str" cm="1">
        <f t="array" ref="H112">IFERROR(INDEX(단어표[분류],MIN(IF(ISNUMBER(FIND(단어표[포함단어],표3[[#This Row],[내용]])),ROW(단어표[포함단어])-ROW(포함단어시작셀)+1,ROWS(단어표[포함단어])+1))),"")</f>
        <v>주식</v>
      </c>
      <c r="I112" s="23" t="str">
        <f>VLOOKUP(H112,분류표[],2,0)</f>
        <v>식비</v>
      </c>
      <c r="J112" s="24">
        <f t="shared" si="2"/>
        <v>44596</v>
      </c>
      <c r="K112" s="23">
        <f t="shared" si="3"/>
        <v>7</v>
      </c>
    </row>
    <row r="113" spans="1:11">
      <c r="A113" s="21">
        <v>44596</v>
      </c>
      <c r="B113" s="20" t="s">
        <v>340</v>
      </c>
      <c r="C113" s="20" t="s">
        <v>527</v>
      </c>
      <c r="D113" s="22">
        <v>5900</v>
      </c>
      <c r="E113" s="22"/>
      <c r="F113" s="20" t="s">
        <v>448</v>
      </c>
      <c r="G113" s="22">
        <v>1713580</v>
      </c>
      <c r="H113" s="23" t="str" cm="1">
        <f t="array" ref="H113">IFERROR(INDEX(단어표[분류],MIN(IF(ISNUMBER(FIND(단어표[포함단어],표3[[#This Row],[내용]])),ROW(단어표[포함단어])-ROW(포함단어시작셀)+1,ROWS(단어표[포함단어])+1))),"")</f>
        <v>주식</v>
      </c>
      <c r="I113" s="23" t="str">
        <f>VLOOKUP(H113,분류표[],2,0)</f>
        <v>식비</v>
      </c>
      <c r="J113" s="24">
        <f t="shared" si="2"/>
        <v>44596</v>
      </c>
      <c r="K113" s="23">
        <f t="shared" si="3"/>
        <v>13</v>
      </c>
    </row>
    <row r="114" spans="1:11">
      <c r="A114" s="21">
        <v>44596</v>
      </c>
      <c r="B114" s="20" t="s">
        <v>339</v>
      </c>
      <c r="C114" s="20" t="s">
        <v>527</v>
      </c>
      <c r="D114" s="22">
        <v>5300</v>
      </c>
      <c r="E114" s="22"/>
      <c r="F114" s="20" t="s">
        <v>496</v>
      </c>
      <c r="G114" s="22">
        <v>1708280</v>
      </c>
      <c r="H114" s="23" t="str" cm="1">
        <f t="array" ref="H114">IFERROR(INDEX(단어표[분류],MIN(IF(ISNUMBER(FIND(단어표[포함단어],표3[[#This Row],[내용]])),ROW(단어표[포함단어])-ROW(포함단어시작셀)+1,ROWS(단어표[포함단어])+1))),"")</f>
        <v>기타생활비</v>
      </c>
      <c r="I114" s="23" t="str">
        <f>VLOOKUP(H114,분류표[],2,0)</f>
        <v>생활비</v>
      </c>
      <c r="J114" s="24">
        <f t="shared" si="2"/>
        <v>44596</v>
      </c>
      <c r="K114" s="23">
        <f t="shared" si="3"/>
        <v>14</v>
      </c>
    </row>
    <row r="115" spans="1:11">
      <c r="A115" s="21">
        <v>44596</v>
      </c>
      <c r="B115" s="20" t="s">
        <v>338</v>
      </c>
      <c r="C115" s="20" t="s">
        <v>527</v>
      </c>
      <c r="D115" s="22">
        <v>7700</v>
      </c>
      <c r="E115" s="22"/>
      <c r="F115" s="20" t="s">
        <v>492</v>
      </c>
      <c r="G115" s="22">
        <v>1700580</v>
      </c>
      <c r="H115" s="23" t="str" cm="1">
        <f t="array" ref="H115">IFERROR(INDEX(단어표[분류],MIN(IF(ISNUMBER(FIND(단어표[포함단어],표3[[#This Row],[내용]])),ROW(단어표[포함단어])-ROW(포함단어시작셀)+1,ROWS(단어표[포함단어])+1))),"")</f>
        <v>기타식료품</v>
      </c>
      <c r="I115" s="23" t="str">
        <f>VLOOKUP(H115,분류표[],2,0)</f>
        <v>식비</v>
      </c>
      <c r="J115" s="24">
        <f t="shared" si="2"/>
        <v>44596</v>
      </c>
      <c r="K115" s="23">
        <f t="shared" si="3"/>
        <v>22</v>
      </c>
    </row>
    <row r="116" spans="1:11">
      <c r="A116" s="21">
        <v>44597</v>
      </c>
      <c r="B116" s="20" t="s">
        <v>337</v>
      </c>
      <c r="C116" s="20" t="s">
        <v>527</v>
      </c>
      <c r="D116" s="22">
        <v>23800</v>
      </c>
      <c r="E116" s="22"/>
      <c r="F116" s="20" t="s">
        <v>515</v>
      </c>
      <c r="G116" s="22">
        <v>1676780</v>
      </c>
      <c r="H116" s="23" t="str" cm="1">
        <f t="array" ref="H116">IFERROR(INDEX(단어표[분류],MIN(IF(ISNUMBER(FIND(단어표[포함단어],표3[[#This Row],[내용]])),ROW(단어표[포함단어])-ROW(포함단어시작셀)+1,ROWS(단어표[포함단어])+1))),"")</f>
        <v>커피</v>
      </c>
      <c r="I116" s="23" t="str">
        <f>VLOOKUP(H116,분류표[],2,0)</f>
        <v>식비</v>
      </c>
      <c r="J116" s="24">
        <f t="shared" si="2"/>
        <v>44597</v>
      </c>
      <c r="K116" s="23">
        <f t="shared" si="3"/>
        <v>16</v>
      </c>
    </row>
    <row r="117" spans="1:11">
      <c r="A117" s="21">
        <v>44597</v>
      </c>
      <c r="B117" s="20" t="s">
        <v>336</v>
      </c>
      <c r="C117" s="20" t="s">
        <v>527</v>
      </c>
      <c r="D117" s="22">
        <v>3600</v>
      </c>
      <c r="E117" s="22"/>
      <c r="F117" s="20" t="s">
        <v>493</v>
      </c>
      <c r="G117" s="22">
        <v>1673180</v>
      </c>
      <c r="H117" s="23" t="str" cm="1">
        <f t="array" ref="H117">IFERROR(INDEX(단어표[분류],MIN(IF(ISNUMBER(FIND(단어표[포함단어],표3[[#This Row],[내용]])),ROW(단어표[포함단어])-ROW(포함단어시작셀)+1,ROWS(단어표[포함단어])+1))),"")</f>
        <v>커피</v>
      </c>
      <c r="I117" s="23" t="str">
        <f>VLOOKUP(H117,분류표[],2,0)</f>
        <v>식비</v>
      </c>
      <c r="J117" s="24">
        <f t="shared" si="2"/>
        <v>44597</v>
      </c>
      <c r="K117" s="23">
        <f t="shared" si="3"/>
        <v>18</v>
      </c>
    </row>
    <row r="118" spans="1:11">
      <c r="A118" s="21">
        <v>44597</v>
      </c>
      <c r="B118" s="20" t="s">
        <v>335</v>
      </c>
      <c r="C118" s="20" t="s">
        <v>527</v>
      </c>
      <c r="D118" s="22">
        <v>2700</v>
      </c>
      <c r="E118" s="22"/>
      <c r="F118" s="20" t="s">
        <v>523</v>
      </c>
      <c r="G118" s="22">
        <v>1670480</v>
      </c>
      <c r="H118" s="23" t="str" cm="1">
        <f t="array" ref="H118">IFERROR(INDEX(단어표[분류],MIN(IF(ISNUMBER(FIND(단어표[포함단어],표3[[#This Row],[내용]])),ROW(단어표[포함단어])-ROW(포함단어시작셀)+1,ROWS(단어표[포함단어])+1))),"")</f>
        <v>스포츠</v>
      </c>
      <c r="I118" s="23" t="str">
        <f>VLOOKUP(H118,분류표[],2,0)</f>
        <v>문화생활비</v>
      </c>
      <c r="J118" s="24">
        <f t="shared" si="2"/>
        <v>44597</v>
      </c>
      <c r="K118" s="23">
        <f t="shared" si="3"/>
        <v>19</v>
      </c>
    </row>
    <row r="119" spans="1:11">
      <c r="A119" s="21">
        <v>44597</v>
      </c>
      <c r="B119" s="20" t="s">
        <v>334</v>
      </c>
      <c r="C119" s="20" t="s">
        <v>527</v>
      </c>
      <c r="D119" s="22">
        <v>2100</v>
      </c>
      <c r="E119" s="22"/>
      <c r="F119" s="20" t="s">
        <v>523</v>
      </c>
      <c r="G119" s="22">
        <v>1668380</v>
      </c>
      <c r="H119" s="23" t="str" cm="1">
        <f t="array" ref="H119">IFERROR(INDEX(단어표[분류],MIN(IF(ISNUMBER(FIND(단어표[포함단어],표3[[#This Row],[내용]])),ROW(단어표[포함단어])-ROW(포함단어시작셀)+1,ROWS(단어표[포함단어])+1))),"")</f>
        <v>스포츠</v>
      </c>
      <c r="I119" s="23" t="str">
        <f>VLOOKUP(H119,분류표[],2,0)</f>
        <v>문화생활비</v>
      </c>
      <c r="J119" s="24">
        <f t="shared" si="2"/>
        <v>44597</v>
      </c>
      <c r="K119" s="23">
        <f t="shared" si="3"/>
        <v>23</v>
      </c>
    </row>
    <row r="120" spans="1:11">
      <c r="A120" s="21">
        <v>44598</v>
      </c>
      <c r="B120" s="20" t="s">
        <v>333</v>
      </c>
      <c r="C120" s="20" t="s">
        <v>527</v>
      </c>
      <c r="D120" s="22">
        <v>6200</v>
      </c>
      <c r="E120" s="22"/>
      <c r="F120" s="20" t="s">
        <v>492</v>
      </c>
      <c r="G120" s="22">
        <v>1662180</v>
      </c>
      <c r="H120" s="23" t="str" cm="1">
        <f t="array" ref="H120">IFERROR(INDEX(단어표[분류],MIN(IF(ISNUMBER(FIND(단어표[포함단어],표3[[#This Row],[내용]])),ROW(단어표[포함단어])-ROW(포함단어시작셀)+1,ROWS(단어표[포함단어])+1))),"")</f>
        <v>기타식료품</v>
      </c>
      <c r="I120" s="23" t="str">
        <f>VLOOKUP(H120,분류표[],2,0)</f>
        <v>식비</v>
      </c>
      <c r="J120" s="24">
        <f t="shared" si="2"/>
        <v>44598</v>
      </c>
      <c r="K120" s="23">
        <f t="shared" si="3"/>
        <v>0</v>
      </c>
    </row>
    <row r="121" spans="1:11">
      <c r="A121" s="21">
        <v>44598</v>
      </c>
      <c r="B121" s="20" t="s">
        <v>332</v>
      </c>
      <c r="C121" s="20" t="s">
        <v>527</v>
      </c>
      <c r="D121" s="22">
        <v>2400</v>
      </c>
      <c r="E121" s="22"/>
      <c r="F121" s="20" t="s">
        <v>522</v>
      </c>
      <c r="G121" s="22">
        <v>1659780</v>
      </c>
      <c r="H121" s="23" t="str" cm="1">
        <f t="array" ref="H121">IFERROR(INDEX(단어표[분류],MIN(IF(ISNUMBER(FIND(단어표[포함단어],표3[[#This Row],[내용]])),ROW(단어표[포함단어])-ROW(포함단어시작셀)+1,ROWS(단어표[포함단어])+1))),"")</f>
        <v>스포츠</v>
      </c>
      <c r="I121" s="23" t="str">
        <f>VLOOKUP(H121,분류표[],2,0)</f>
        <v>문화생활비</v>
      </c>
      <c r="J121" s="24">
        <f t="shared" si="2"/>
        <v>44598</v>
      </c>
      <c r="K121" s="23">
        <f t="shared" si="3"/>
        <v>1</v>
      </c>
    </row>
    <row r="122" spans="1:11">
      <c r="A122" s="21">
        <v>44598</v>
      </c>
      <c r="B122" s="20" t="s">
        <v>331</v>
      </c>
      <c r="C122" s="20" t="s">
        <v>527</v>
      </c>
      <c r="D122" s="22">
        <v>2900</v>
      </c>
      <c r="E122" s="22"/>
      <c r="F122" s="20" t="s">
        <v>522</v>
      </c>
      <c r="G122" s="22">
        <v>1656880</v>
      </c>
      <c r="H122" s="23" t="str" cm="1">
        <f t="array" ref="H122">IFERROR(INDEX(단어표[분류],MIN(IF(ISNUMBER(FIND(단어표[포함단어],표3[[#This Row],[내용]])),ROW(단어표[포함단어])-ROW(포함단어시작셀)+1,ROWS(단어표[포함단어])+1))),"")</f>
        <v>스포츠</v>
      </c>
      <c r="I122" s="23" t="str">
        <f>VLOOKUP(H122,분류표[],2,0)</f>
        <v>문화생활비</v>
      </c>
      <c r="J122" s="24">
        <f t="shared" si="2"/>
        <v>44598</v>
      </c>
      <c r="K122" s="23">
        <f t="shared" si="3"/>
        <v>12</v>
      </c>
    </row>
    <row r="123" spans="1:11">
      <c r="A123" s="21">
        <v>44598</v>
      </c>
      <c r="B123" s="20" t="s">
        <v>330</v>
      </c>
      <c r="C123" s="20" t="s">
        <v>527</v>
      </c>
      <c r="D123" s="22">
        <v>2600</v>
      </c>
      <c r="E123" s="22"/>
      <c r="F123" s="20" t="s">
        <v>522</v>
      </c>
      <c r="G123" s="22">
        <v>1654280</v>
      </c>
      <c r="H123" s="23" t="str" cm="1">
        <f t="array" ref="H123">IFERROR(INDEX(단어표[분류],MIN(IF(ISNUMBER(FIND(단어표[포함단어],표3[[#This Row],[내용]])),ROW(단어표[포함단어])-ROW(포함단어시작셀)+1,ROWS(단어표[포함단어])+1))),"")</f>
        <v>스포츠</v>
      </c>
      <c r="I123" s="23" t="str">
        <f>VLOOKUP(H123,분류표[],2,0)</f>
        <v>문화생활비</v>
      </c>
      <c r="J123" s="24">
        <f t="shared" si="2"/>
        <v>44598</v>
      </c>
      <c r="K123" s="23">
        <f t="shared" si="3"/>
        <v>16</v>
      </c>
    </row>
    <row r="124" spans="1:11">
      <c r="A124" s="21">
        <v>44598</v>
      </c>
      <c r="B124" s="20" t="s">
        <v>329</v>
      </c>
      <c r="C124" s="20" t="s">
        <v>527</v>
      </c>
      <c r="D124" s="22">
        <v>2700</v>
      </c>
      <c r="E124" s="22"/>
      <c r="F124" s="20" t="s">
        <v>492</v>
      </c>
      <c r="G124" s="22">
        <v>1651580</v>
      </c>
      <c r="H124" s="23" t="str" cm="1">
        <f t="array" ref="H124">IFERROR(INDEX(단어표[분류],MIN(IF(ISNUMBER(FIND(단어표[포함단어],표3[[#This Row],[내용]])),ROW(단어표[포함단어])-ROW(포함단어시작셀)+1,ROWS(단어표[포함단어])+1))),"")</f>
        <v>기타식료품</v>
      </c>
      <c r="I124" s="23" t="str">
        <f>VLOOKUP(H124,분류표[],2,0)</f>
        <v>식비</v>
      </c>
      <c r="J124" s="24">
        <f t="shared" si="2"/>
        <v>44598</v>
      </c>
      <c r="K124" s="23">
        <f t="shared" si="3"/>
        <v>19</v>
      </c>
    </row>
    <row r="125" spans="1:11">
      <c r="A125" s="21">
        <v>44598</v>
      </c>
      <c r="B125" s="20" t="s">
        <v>328</v>
      </c>
      <c r="C125" s="20" t="s">
        <v>527</v>
      </c>
      <c r="D125" s="22">
        <v>2300</v>
      </c>
      <c r="E125" s="22"/>
      <c r="F125" s="20" t="s">
        <v>522</v>
      </c>
      <c r="G125" s="22">
        <v>1649280</v>
      </c>
      <c r="H125" s="23" t="str" cm="1">
        <f t="array" ref="H125">IFERROR(INDEX(단어표[분류],MIN(IF(ISNUMBER(FIND(단어표[포함단어],표3[[#This Row],[내용]])),ROW(단어표[포함단어])-ROW(포함단어시작셀)+1,ROWS(단어표[포함단어])+1))),"")</f>
        <v>스포츠</v>
      </c>
      <c r="I125" s="23" t="str">
        <f>VLOOKUP(H125,분류표[],2,0)</f>
        <v>문화생활비</v>
      </c>
      <c r="J125" s="24">
        <f t="shared" si="2"/>
        <v>44598</v>
      </c>
      <c r="K125" s="23">
        <f t="shared" si="3"/>
        <v>21</v>
      </c>
    </row>
    <row r="126" spans="1:11">
      <c r="A126" s="21">
        <v>44599</v>
      </c>
      <c r="B126" s="20" t="s">
        <v>327</v>
      </c>
      <c r="C126" s="20" t="s">
        <v>527</v>
      </c>
      <c r="D126" s="22">
        <v>3300</v>
      </c>
      <c r="E126" s="22"/>
      <c r="F126" s="20" t="s">
        <v>522</v>
      </c>
      <c r="G126" s="22">
        <v>1645980</v>
      </c>
      <c r="H126" s="23" t="str" cm="1">
        <f t="array" ref="H126">IFERROR(INDEX(단어표[분류],MIN(IF(ISNUMBER(FIND(단어표[포함단어],표3[[#This Row],[내용]])),ROW(단어표[포함단어])-ROW(포함단어시작셀)+1,ROWS(단어표[포함단어])+1))),"")</f>
        <v>스포츠</v>
      </c>
      <c r="I126" s="23" t="str">
        <f>VLOOKUP(H126,분류표[],2,0)</f>
        <v>문화생활비</v>
      </c>
      <c r="J126" s="24">
        <f t="shared" si="2"/>
        <v>44599</v>
      </c>
      <c r="K126" s="23">
        <f t="shared" si="3"/>
        <v>8</v>
      </c>
    </row>
    <row r="127" spans="1:11">
      <c r="A127" s="21">
        <v>44599</v>
      </c>
      <c r="B127" s="20" t="s">
        <v>326</v>
      </c>
      <c r="C127" s="20" t="s">
        <v>527</v>
      </c>
      <c r="D127" s="22">
        <v>10900</v>
      </c>
      <c r="E127" s="22"/>
      <c r="F127" s="20" t="s">
        <v>494</v>
      </c>
      <c r="G127" s="22">
        <v>1635080</v>
      </c>
      <c r="H127" s="23" t="str" cm="1">
        <f t="array" ref="H127">IFERROR(INDEX(단어표[분류],MIN(IF(ISNUMBER(FIND(단어표[포함단어],표3[[#This Row],[내용]])),ROW(단어표[포함단어])-ROW(포함단어시작셀)+1,ROWS(단어표[포함단어])+1))),"")</f>
        <v>커피</v>
      </c>
      <c r="I127" s="23" t="str">
        <f>VLOOKUP(H127,분류표[],2,0)</f>
        <v>식비</v>
      </c>
      <c r="J127" s="24">
        <f t="shared" si="2"/>
        <v>44599</v>
      </c>
      <c r="K127" s="23">
        <f t="shared" si="3"/>
        <v>13</v>
      </c>
    </row>
    <row r="128" spans="1:11">
      <c r="A128" s="21">
        <v>44599</v>
      </c>
      <c r="B128" s="20" t="s">
        <v>325</v>
      </c>
      <c r="C128" s="20" t="s">
        <v>527</v>
      </c>
      <c r="D128" s="22">
        <v>5900</v>
      </c>
      <c r="E128" s="22"/>
      <c r="F128" s="20" t="s">
        <v>478</v>
      </c>
      <c r="G128" s="22">
        <v>1629180</v>
      </c>
      <c r="H128" s="23" t="str" cm="1">
        <f t="array" ref="H128">IFERROR(INDEX(단어표[분류],MIN(IF(ISNUMBER(FIND(단어표[포함단어],표3[[#This Row],[내용]])),ROW(단어표[포함단어])-ROW(포함단어시작셀)+1,ROWS(단어표[포함단어])+1))),"")</f>
        <v>주식</v>
      </c>
      <c r="I128" s="23" t="str">
        <f>VLOOKUP(H128,분류표[],2,0)</f>
        <v>식비</v>
      </c>
      <c r="J128" s="24">
        <f t="shared" si="2"/>
        <v>44599</v>
      </c>
      <c r="K128" s="23">
        <f t="shared" si="3"/>
        <v>14</v>
      </c>
    </row>
    <row r="129" spans="1:11">
      <c r="A129" s="21">
        <v>44599</v>
      </c>
      <c r="B129" s="20" t="s">
        <v>324</v>
      </c>
      <c r="C129" s="20" t="s">
        <v>527</v>
      </c>
      <c r="D129" s="22">
        <v>4100</v>
      </c>
      <c r="E129" s="22"/>
      <c r="F129" s="20" t="s">
        <v>493</v>
      </c>
      <c r="G129" s="22">
        <v>1625080</v>
      </c>
      <c r="H129" s="23" t="str" cm="1">
        <f t="array" ref="H129">IFERROR(INDEX(단어표[분류],MIN(IF(ISNUMBER(FIND(단어표[포함단어],표3[[#This Row],[내용]])),ROW(단어표[포함단어])-ROW(포함단어시작셀)+1,ROWS(단어표[포함단어])+1))),"")</f>
        <v>커피</v>
      </c>
      <c r="I129" s="23" t="str">
        <f>VLOOKUP(H129,분류표[],2,0)</f>
        <v>식비</v>
      </c>
      <c r="J129" s="24">
        <f t="shared" si="2"/>
        <v>44599</v>
      </c>
      <c r="K129" s="23">
        <f t="shared" si="3"/>
        <v>14</v>
      </c>
    </row>
    <row r="130" spans="1:11">
      <c r="A130" s="21">
        <v>44599</v>
      </c>
      <c r="B130" s="20" t="s">
        <v>323</v>
      </c>
      <c r="C130" s="20" t="s">
        <v>527</v>
      </c>
      <c r="D130" s="22">
        <v>3900</v>
      </c>
      <c r="E130" s="22"/>
      <c r="F130" s="20" t="s">
        <v>458</v>
      </c>
      <c r="G130" s="22">
        <v>1621180</v>
      </c>
      <c r="H130" s="23" t="str" cm="1">
        <f t="array" ref="H130">IFERROR(INDEX(단어표[분류],MIN(IF(ISNUMBER(FIND(단어표[포함단어],표3[[#This Row],[내용]])),ROW(단어표[포함단어])-ROW(포함단어시작셀)+1,ROWS(단어표[포함단어])+1))),"")</f>
        <v>교통비</v>
      </c>
      <c r="I130" s="23" t="str">
        <f>VLOOKUP(H130,분류표[],2,0)</f>
        <v>교통비</v>
      </c>
      <c r="J130" s="24">
        <f t="shared" si="2"/>
        <v>44599</v>
      </c>
      <c r="K130" s="23">
        <f t="shared" si="3"/>
        <v>18</v>
      </c>
    </row>
    <row r="131" spans="1:11">
      <c r="A131" s="21">
        <v>44599</v>
      </c>
      <c r="B131" s="20" t="s">
        <v>322</v>
      </c>
      <c r="C131" s="20" t="s">
        <v>527</v>
      </c>
      <c r="D131" s="22">
        <v>17800</v>
      </c>
      <c r="E131" s="22"/>
      <c r="F131" s="20" t="s">
        <v>604</v>
      </c>
      <c r="G131" s="22">
        <v>1603380</v>
      </c>
      <c r="H131" s="23" t="str" cm="1">
        <f t="array" ref="H131">IFERROR(INDEX(단어표[분류],MIN(IF(ISNUMBER(FIND(단어표[포함단어],표3[[#This Row],[내용]])),ROW(단어표[포함단어])-ROW(포함단어시작셀)+1,ROWS(단어표[포함단어])+1))),"")</f>
        <v>주식</v>
      </c>
      <c r="I131" s="23" t="str">
        <f>VLOOKUP(H131,분류표[],2,0)</f>
        <v>식비</v>
      </c>
      <c r="J131" s="24">
        <f t="shared" si="2"/>
        <v>44599</v>
      </c>
      <c r="K131" s="23">
        <f t="shared" si="3"/>
        <v>19</v>
      </c>
    </row>
    <row r="132" spans="1:11">
      <c r="A132" s="21">
        <v>44599</v>
      </c>
      <c r="B132" s="20" t="s">
        <v>321</v>
      </c>
      <c r="C132" s="20" t="s">
        <v>527</v>
      </c>
      <c r="D132" s="22">
        <v>4900</v>
      </c>
      <c r="E132" s="22"/>
      <c r="F132" s="20" t="s">
        <v>519</v>
      </c>
      <c r="G132" s="22">
        <v>1598480</v>
      </c>
      <c r="H132" s="23" t="str" cm="1">
        <f t="array" ref="H132">IFERROR(INDEX(단어표[분류],MIN(IF(ISNUMBER(FIND(단어표[포함단어],표3[[#This Row],[내용]])),ROW(단어표[포함단어])-ROW(포함단어시작셀)+1,ROWS(단어표[포함단어])+1))),"")</f>
        <v>스포츠</v>
      </c>
      <c r="I132" s="23" t="str">
        <f>VLOOKUP(H132,분류표[],2,0)</f>
        <v>문화생활비</v>
      </c>
      <c r="J132" s="24">
        <f t="shared" si="2"/>
        <v>44599</v>
      </c>
      <c r="K132" s="23">
        <f t="shared" si="3"/>
        <v>20</v>
      </c>
    </row>
    <row r="133" spans="1:11">
      <c r="A133" s="21">
        <v>44600</v>
      </c>
      <c r="B133" s="20" t="s">
        <v>320</v>
      </c>
      <c r="C133" s="20" t="s">
        <v>527</v>
      </c>
      <c r="D133" s="22">
        <v>50000</v>
      </c>
      <c r="E133" s="22"/>
      <c r="F133" s="20" t="s">
        <v>311</v>
      </c>
      <c r="G133" s="22">
        <v>1548480</v>
      </c>
      <c r="H133" s="23" t="str" cm="1">
        <f t="array" ref="H133">IFERROR(INDEX(단어표[분류],MIN(IF(ISNUMBER(FIND(단어표[포함단어],표3[[#This Row],[내용]])),ROW(단어표[포함단어])-ROW(포함단어시작셀)+1,ROWS(단어표[포함단어])+1))),"")</f>
        <v>생활용품</v>
      </c>
      <c r="I133" s="23" t="str">
        <f>VLOOKUP(H133,분류표[],2,0)</f>
        <v>생활비</v>
      </c>
      <c r="J133" s="24">
        <f t="shared" si="2"/>
        <v>44600</v>
      </c>
      <c r="K133" s="23">
        <f t="shared" si="3"/>
        <v>8</v>
      </c>
    </row>
    <row r="134" spans="1:11">
      <c r="A134" s="21">
        <v>44600</v>
      </c>
      <c r="B134" s="20" t="s">
        <v>319</v>
      </c>
      <c r="C134" s="20" t="s">
        <v>527</v>
      </c>
      <c r="D134" s="22">
        <v>12200</v>
      </c>
      <c r="E134" s="22"/>
      <c r="F134" s="20" t="s">
        <v>31</v>
      </c>
      <c r="G134" s="22">
        <v>1536280</v>
      </c>
      <c r="H134" s="23" t="str" cm="1">
        <f t="array" ref="H134">IFERROR(INDEX(단어표[분류],MIN(IF(ISNUMBER(FIND(단어표[포함단어],표3[[#This Row],[내용]])),ROW(단어표[포함단어])-ROW(포함단어시작셀)+1,ROWS(단어표[포함단어])+1))),"")</f>
        <v>구독서비스</v>
      </c>
      <c r="I134" s="23" t="str">
        <f>VLOOKUP(H134,분류표[],2,0)</f>
        <v>생활비</v>
      </c>
      <c r="J134" s="24">
        <f t="shared" si="2"/>
        <v>44600</v>
      </c>
      <c r="K134" s="23">
        <f t="shared" si="3"/>
        <v>8</v>
      </c>
    </row>
    <row r="135" spans="1:11">
      <c r="A135" s="21">
        <v>44600</v>
      </c>
      <c r="B135" s="20" t="s">
        <v>318</v>
      </c>
      <c r="C135" s="20" t="s">
        <v>527</v>
      </c>
      <c r="D135" s="22">
        <v>7400</v>
      </c>
      <c r="E135" s="22"/>
      <c r="F135" s="20" t="s">
        <v>466</v>
      </c>
      <c r="G135" s="22">
        <v>1528880</v>
      </c>
      <c r="H135" s="23" t="str" cm="1">
        <f t="array" ref="H135">IFERROR(INDEX(단어표[분류],MIN(IF(ISNUMBER(FIND(단어표[포함단어],표3[[#This Row],[내용]])),ROW(단어표[포함단어])-ROW(포함단어시작셀)+1,ROWS(단어표[포함단어])+1))),"")</f>
        <v>주식</v>
      </c>
      <c r="I135" s="23" t="str">
        <f>VLOOKUP(H135,분류표[],2,0)</f>
        <v>식비</v>
      </c>
      <c r="J135" s="24">
        <f t="shared" si="2"/>
        <v>44600</v>
      </c>
      <c r="K135" s="23">
        <f t="shared" si="3"/>
        <v>11</v>
      </c>
    </row>
    <row r="136" spans="1:11">
      <c r="A136" s="21">
        <v>44600</v>
      </c>
      <c r="B136" s="20" t="s">
        <v>317</v>
      </c>
      <c r="C136" s="20" t="s">
        <v>527</v>
      </c>
      <c r="D136" s="22">
        <v>8400</v>
      </c>
      <c r="E136" s="22"/>
      <c r="F136" s="20" t="s">
        <v>519</v>
      </c>
      <c r="G136" s="22">
        <v>1520480</v>
      </c>
      <c r="H136" s="23" t="str" cm="1">
        <f t="array" ref="H136">IFERROR(INDEX(단어표[분류],MIN(IF(ISNUMBER(FIND(단어표[포함단어],표3[[#This Row],[내용]])),ROW(단어표[포함단어])-ROW(포함단어시작셀)+1,ROWS(단어표[포함단어])+1))),"")</f>
        <v>스포츠</v>
      </c>
      <c r="I136" s="23" t="str">
        <f>VLOOKUP(H136,분류표[],2,0)</f>
        <v>문화생활비</v>
      </c>
      <c r="J136" s="24">
        <f t="shared" si="2"/>
        <v>44600</v>
      </c>
      <c r="K136" s="23">
        <f t="shared" si="3"/>
        <v>16</v>
      </c>
    </row>
    <row r="137" spans="1:11">
      <c r="A137" s="21">
        <v>44600</v>
      </c>
      <c r="B137" s="20" t="s">
        <v>316</v>
      </c>
      <c r="C137" s="20" t="s">
        <v>527</v>
      </c>
      <c r="D137" s="22">
        <v>5700</v>
      </c>
      <c r="E137" s="22"/>
      <c r="F137" s="20" t="s">
        <v>456</v>
      </c>
      <c r="G137" s="22">
        <v>1514780</v>
      </c>
      <c r="H137" s="23" t="str" cm="1">
        <f t="array" ref="H137">IFERROR(INDEX(단어표[분류],MIN(IF(ISNUMBER(FIND(단어표[포함단어],표3[[#This Row],[내용]])),ROW(단어표[포함단어])-ROW(포함단어시작셀)+1,ROWS(단어표[포함단어])+1))),"")</f>
        <v>간식</v>
      </c>
      <c r="I137" s="23" t="str">
        <f>VLOOKUP(H137,분류표[],2,0)</f>
        <v>식비</v>
      </c>
      <c r="J137" s="24">
        <f t="shared" ref="J137:J200" si="4">A137</f>
        <v>44600</v>
      </c>
      <c r="K137" s="23">
        <f t="shared" ref="K137:K200" si="5">HOUR(B137)</f>
        <v>17</v>
      </c>
    </row>
    <row r="138" spans="1:11">
      <c r="A138" s="21">
        <v>44601</v>
      </c>
      <c r="B138" s="20" t="s">
        <v>315</v>
      </c>
      <c r="C138" s="20" t="s">
        <v>527</v>
      </c>
      <c r="D138" s="22">
        <v>32500</v>
      </c>
      <c r="E138" s="22"/>
      <c r="F138" s="20" t="s">
        <v>499</v>
      </c>
      <c r="G138" s="22">
        <v>1482280</v>
      </c>
      <c r="H138" s="23" t="str" cm="1">
        <f t="array" ref="H138">IFERROR(INDEX(단어표[분류],MIN(IF(ISNUMBER(FIND(단어표[포함단어],표3[[#This Row],[내용]])),ROW(단어표[포함단어])-ROW(포함단어시작셀)+1,ROWS(단어표[포함단어])+1))),"")</f>
        <v>주식</v>
      </c>
      <c r="I138" s="23" t="str">
        <f>VLOOKUP(H138,분류표[],2,0)</f>
        <v>식비</v>
      </c>
      <c r="J138" s="24">
        <f t="shared" si="4"/>
        <v>44601</v>
      </c>
      <c r="K138" s="23">
        <f t="shared" si="5"/>
        <v>17</v>
      </c>
    </row>
    <row r="139" spans="1:11">
      <c r="A139" s="21">
        <v>44601</v>
      </c>
      <c r="B139" s="20" t="s">
        <v>314</v>
      </c>
      <c r="C139" s="20" t="s">
        <v>527</v>
      </c>
      <c r="D139" s="22">
        <v>41700</v>
      </c>
      <c r="E139" s="22"/>
      <c r="F139" s="20" t="s">
        <v>514</v>
      </c>
      <c r="G139" s="22">
        <v>1440580</v>
      </c>
      <c r="H139" s="23" t="str" cm="1">
        <f t="array" ref="H139">IFERROR(INDEX(단어표[분류],MIN(IF(ISNUMBER(FIND(단어표[포함단어],표3[[#This Row],[내용]])),ROW(단어표[포함단어])-ROW(포함단어시작셀)+1,ROWS(단어표[포함단어])+1))),"")</f>
        <v>커피</v>
      </c>
      <c r="I139" s="23" t="str">
        <f>VLOOKUP(H139,분류표[],2,0)</f>
        <v>식비</v>
      </c>
      <c r="J139" s="24">
        <f t="shared" si="4"/>
        <v>44601</v>
      </c>
      <c r="K139" s="23">
        <f t="shared" si="5"/>
        <v>19</v>
      </c>
    </row>
    <row r="140" spans="1:11">
      <c r="A140" s="21">
        <v>44601</v>
      </c>
      <c r="B140" s="20" t="s">
        <v>313</v>
      </c>
      <c r="C140" s="20" t="s">
        <v>527</v>
      </c>
      <c r="D140" s="22">
        <v>14200</v>
      </c>
      <c r="E140" s="22"/>
      <c r="F140" s="20" t="s">
        <v>519</v>
      </c>
      <c r="G140" s="22">
        <v>1426380</v>
      </c>
      <c r="H140" s="23" t="str" cm="1">
        <f t="array" ref="H140">IFERROR(INDEX(단어표[분류],MIN(IF(ISNUMBER(FIND(단어표[포함단어],표3[[#This Row],[내용]])),ROW(단어표[포함단어])-ROW(포함단어시작셀)+1,ROWS(단어표[포함단어])+1))),"")</f>
        <v>스포츠</v>
      </c>
      <c r="I140" s="23" t="str">
        <f>VLOOKUP(H140,분류표[],2,0)</f>
        <v>문화생활비</v>
      </c>
      <c r="J140" s="24">
        <f t="shared" si="4"/>
        <v>44601</v>
      </c>
      <c r="K140" s="23">
        <f t="shared" si="5"/>
        <v>22</v>
      </c>
    </row>
    <row r="141" spans="1:11">
      <c r="A141" s="21">
        <v>44602</v>
      </c>
      <c r="B141" s="20" t="s">
        <v>66</v>
      </c>
      <c r="C141" s="20" t="s">
        <v>527</v>
      </c>
      <c r="D141" s="22">
        <v>1600</v>
      </c>
      <c r="E141" s="22"/>
      <c r="F141" s="20" t="s">
        <v>31</v>
      </c>
      <c r="G141" s="22">
        <v>1424780</v>
      </c>
      <c r="H141" s="23" t="str" cm="1">
        <f t="array" ref="H141">IFERROR(INDEX(단어표[분류],MIN(IF(ISNUMBER(FIND(단어표[포함단어],표3[[#This Row],[내용]])),ROW(단어표[포함단어])-ROW(포함단어시작셀)+1,ROWS(단어표[포함단어])+1))),"")</f>
        <v>구독서비스</v>
      </c>
      <c r="I141" s="23" t="str">
        <f>VLOOKUP(H141,분류표[],2,0)</f>
        <v>생활비</v>
      </c>
      <c r="J141" s="24">
        <f t="shared" si="4"/>
        <v>44602</v>
      </c>
      <c r="K141" s="23">
        <f t="shared" si="5"/>
        <v>0</v>
      </c>
    </row>
    <row r="142" spans="1:11">
      <c r="A142" s="21">
        <v>44602</v>
      </c>
      <c r="B142" s="20" t="s">
        <v>312</v>
      </c>
      <c r="C142" s="20" t="s">
        <v>527</v>
      </c>
      <c r="D142" s="22">
        <v>49200</v>
      </c>
      <c r="E142" s="22"/>
      <c r="F142" s="20" t="s">
        <v>311</v>
      </c>
      <c r="G142" s="22">
        <v>1375580</v>
      </c>
      <c r="H142" s="23" t="str" cm="1">
        <f t="array" ref="H142">IFERROR(INDEX(단어표[분류],MIN(IF(ISNUMBER(FIND(단어표[포함단어],표3[[#This Row],[내용]])),ROW(단어표[포함단어])-ROW(포함단어시작셀)+1,ROWS(단어표[포함단어])+1))),"")</f>
        <v>생활용품</v>
      </c>
      <c r="I142" s="23" t="str">
        <f>VLOOKUP(H142,분류표[],2,0)</f>
        <v>생활비</v>
      </c>
      <c r="J142" s="24">
        <f t="shared" si="4"/>
        <v>44602</v>
      </c>
      <c r="K142" s="23">
        <f t="shared" si="5"/>
        <v>14</v>
      </c>
    </row>
    <row r="143" spans="1:11">
      <c r="A143" s="21">
        <v>44602</v>
      </c>
      <c r="B143" s="20" t="s">
        <v>310</v>
      </c>
      <c r="C143" s="20" t="s">
        <v>527</v>
      </c>
      <c r="D143" s="22">
        <v>4100</v>
      </c>
      <c r="E143" s="22"/>
      <c r="F143" s="20" t="s">
        <v>311</v>
      </c>
      <c r="G143" s="22">
        <v>1371480</v>
      </c>
      <c r="H143" s="23" t="str" cm="1">
        <f t="array" ref="H143">IFERROR(INDEX(단어표[분류],MIN(IF(ISNUMBER(FIND(단어표[포함단어],표3[[#This Row],[내용]])),ROW(단어표[포함단어])-ROW(포함단어시작셀)+1,ROWS(단어표[포함단어])+1))),"")</f>
        <v>생활용품</v>
      </c>
      <c r="I143" s="23" t="str">
        <f>VLOOKUP(H143,분류표[],2,0)</f>
        <v>생활비</v>
      </c>
      <c r="J143" s="24">
        <f t="shared" si="4"/>
        <v>44602</v>
      </c>
      <c r="K143" s="23">
        <f t="shared" si="5"/>
        <v>15</v>
      </c>
    </row>
    <row r="144" spans="1:11">
      <c r="A144" s="21">
        <v>44602</v>
      </c>
      <c r="B144" s="20" t="s">
        <v>309</v>
      </c>
      <c r="C144" s="20" t="s">
        <v>527</v>
      </c>
      <c r="D144" s="22">
        <v>9200</v>
      </c>
      <c r="E144" s="22"/>
      <c r="F144" s="20" t="s">
        <v>507</v>
      </c>
      <c r="G144" s="22">
        <v>1362280</v>
      </c>
      <c r="H144" s="23" t="str" cm="1">
        <f t="array" ref="H144">IFERROR(INDEX(단어표[분류],MIN(IF(ISNUMBER(FIND(단어표[포함단어],표3[[#This Row],[내용]])),ROW(단어표[포함단어])-ROW(포함단어시작셀)+1,ROWS(단어표[포함단어])+1))),"")</f>
        <v>주식</v>
      </c>
      <c r="I144" s="23" t="str">
        <f>VLOOKUP(H144,분류표[],2,0)</f>
        <v>식비</v>
      </c>
      <c r="J144" s="24">
        <f t="shared" si="4"/>
        <v>44602</v>
      </c>
      <c r="K144" s="23">
        <f t="shared" si="5"/>
        <v>15</v>
      </c>
    </row>
    <row r="145" spans="1:11">
      <c r="A145" s="21">
        <v>44602</v>
      </c>
      <c r="B145" s="20" t="s">
        <v>308</v>
      </c>
      <c r="C145" s="20" t="s">
        <v>527</v>
      </c>
      <c r="D145" s="22">
        <v>6500</v>
      </c>
      <c r="E145" s="22"/>
      <c r="F145" s="20" t="s">
        <v>455</v>
      </c>
      <c r="G145" s="22">
        <v>1355780</v>
      </c>
      <c r="H145" s="23" t="str" cm="1">
        <f t="array" ref="H145">IFERROR(INDEX(단어표[분류],MIN(IF(ISNUMBER(FIND(단어표[포함단어],표3[[#This Row],[내용]])),ROW(단어표[포함단어])-ROW(포함단어시작셀)+1,ROWS(단어표[포함단어])+1))),"")</f>
        <v>주식</v>
      </c>
      <c r="I145" s="23" t="str">
        <f>VLOOKUP(H145,분류표[],2,0)</f>
        <v>식비</v>
      </c>
      <c r="J145" s="24">
        <f t="shared" si="4"/>
        <v>44602</v>
      </c>
      <c r="K145" s="23">
        <f t="shared" si="5"/>
        <v>22</v>
      </c>
    </row>
    <row r="146" spans="1:11">
      <c r="A146" s="21">
        <v>44602</v>
      </c>
      <c r="B146" s="20" t="s">
        <v>307</v>
      </c>
      <c r="C146" s="20" t="s">
        <v>527</v>
      </c>
      <c r="D146" s="22">
        <v>4500</v>
      </c>
      <c r="E146" s="22"/>
      <c r="F146" s="20" t="s">
        <v>492</v>
      </c>
      <c r="G146" s="22">
        <v>1351280</v>
      </c>
      <c r="H146" s="23" t="str" cm="1">
        <f t="array" ref="H146">IFERROR(INDEX(단어표[분류],MIN(IF(ISNUMBER(FIND(단어표[포함단어],표3[[#This Row],[내용]])),ROW(단어표[포함단어])-ROW(포함단어시작셀)+1,ROWS(단어표[포함단어])+1))),"")</f>
        <v>기타식료품</v>
      </c>
      <c r="I146" s="23" t="str">
        <f>VLOOKUP(H146,분류표[],2,0)</f>
        <v>식비</v>
      </c>
      <c r="J146" s="24">
        <f t="shared" si="4"/>
        <v>44602</v>
      </c>
      <c r="K146" s="23">
        <f t="shared" si="5"/>
        <v>22</v>
      </c>
    </row>
    <row r="147" spans="1:11">
      <c r="A147" s="21">
        <v>44603</v>
      </c>
      <c r="B147" s="20" t="s">
        <v>306</v>
      </c>
      <c r="C147" s="20" t="s">
        <v>527</v>
      </c>
      <c r="D147" s="22">
        <v>34300</v>
      </c>
      <c r="E147" s="22"/>
      <c r="F147" s="20" t="s">
        <v>13</v>
      </c>
      <c r="G147" s="22">
        <v>1316980</v>
      </c>
      <c r="H147" s="23" t="str" cm="1">
        <f t="array" ref="H147">IFERROR(INDEX(단어표[분류],MIN(IF(ISNUMBER(FIND(단어표[포함단어],표3[[#This Row],[내용]])),ROW(단어표[포함단어])-ROW(포함단어시작셀)+1,ROWS(단어표[포함단어])+1))),"")</f>
        <v>생활용품</v>
      </c>
      <c r="I147" s="23" t="str">
        <f>VLOOKUP(H147,분류표[],2,0)</f>
        <v>생활비</v>
      </c>
      <c r="J147" s="24">
        <f t="shared" si="4"/>
        <v>44603</v>
      </c>
      <c r="K147" s="23">
        <f t="shared" si="5"/>
        <v>1</v>
      </c>
    </row>
    <row r="148" spans="1:11">
      <c r="A148" s="21">
        <v>44603</v>
      </c>
      <c r="B148" s="20" t="s">
        <v>305</v>
      </c>
      <c r="C148" s="20" t="s">
        <v>527</v>
      </c>
      <c r="D148" s="22">
        <v>10200</v>
      </c>
      <c r="E148" s="22"/>
      <c r="F148" s="20" t="s">
        <v>508</v>
      </c>
      <c r="G148" s="22">
        <v>1306780</v>
      </c>
      <c r="H148" s="23" t="str" cm="1">
        <f t="array" ref="H148">IFERROR(INDEX(단어표[분류],MIN(IF(ISNUMBER(FIND(단어표[포함단어],표3[[#This Row],[내용]])),ROW(단어표[포함단어])-ROW(포함단어시작셀)+1,ROWS(단어표[포함단어])+1))),"")</f>
        <v>주식</v>
      </c>
      <c r="I148" s="23" t="str">
        <f>VLOOKUP(H148,분류표[],2,0)</f>
        <v>식비</v>
      </c>
      <c r="J148" s="24">
        <f t="shared" si="4"/>
        <v>44603</v>
      </c>
      <c r="K148" s="23">
        <f t="shared" si="5"/>
        <v>13</v>
      </c>
    </row>
    <row r="149" spans="1:11">
      <c r="A149" s="21">
        <v>44603</v>
      </c>
      <c r="B149" s="20" t="s">
        <v>303</v>
      </c>
      <c r="C149" s="20" t="s">
        <v>527</v>
      </c>
      <c r="D149" s="22">
        <v>11000</v>
      </c>
      <c r="E149" s="22"/>
      <c r="F149" s="20" t="s">
        <v>304</v>
      </c>
      <c r="G149" s="22">
        <v>1295780</v>
      </c>
      <c r="H149" s="23" t="str" cm="1">
        <f t="array" ref="H149">IFERROR(INDEX(단어표[분류],MIN(IF(ISNUMBER(FIND(단어표[포함단어],표3[[#This Row],[내용]])),ROW(단어표[포함단어])-ROW(포함단어시작셀)+1,ROWS(단어표[포함단어])+1))),"")</f>
        <v>주식</v>
      </c>
      <c r="I149" s="23" t="str">
        <f>VLOOKUP(H149,분류표[],2,0)</f>
        <v>식비</v>
      </c>
      <c r="J149" s="24">
        <f t="shared" si="4"/>
        <v>44603</v>
      </c>
      <c r="K149" s="23">
        <f t="shared" si="5"/>
        <v>18</v>
      </c>
    </row>
    <row r="150" spans="1:11">
      <c r="A150" s="21">
        <v>44603</v>
      </c>
      <c r="B150" s="20" t="s">
        <v>302</v>
      </c>
      <c r="C150" s="20" t="s">
        <v>527</v>
      </c>
      <c r="D150" s="22">
        <v>11400</v>
      </c>
      <c r="E150" s="22"/>
      <c r="F150" s="20" t="s">
        <v>473</v>
      </c>
      <c r="G150" s="22">
        <v>1284380</v>
      </c>
      <c r="H150" s="23" t="str" cm="1">
        <f t="array" ref="H150">IFERROR(INDEX(단어표[분류],MIN(IF(ISNUMBER(FIND(단어표[포함단어],표3[[#This Row],[내용]])),ROW(단어표[포함단어])-ROW(포함단어시작셀)+1,ROWS(단어표[포함단어])+1))),"")</f>
        <v>주식</v>
      </c>
      <c r="I150" s="23" t="str">
        <f>VLOOKUP(H150,분류표[],2,0)</f>
        <v>식비</v>
      </c>
      <c r="J150" s="24">
        <f t="shared" si="4"/>
        <v>44603</v>
      </c>
      <c r="K150" s="23">
        <f t="shared" si="5"/>
        <v>19</v>
      </c>
    </row>
    <row r="151" spans="1:11">
      <c r="A151" s="21">
        <v>44604</v>
      </c>
      <c r="B151" s="20" t="s">
        <v>301</v>
      </c>
      <c r="C151" s="20" t="s">
        <v>527</v>
      </c>
      <c r="D151" s="22">
        <v>4300</v>
      </c>
      <c r="E151" s="22"/>
      <c r="F151" s="20" t="s">
        <v>493</v>
      </c>
      <c r="G151" s="22">
        <v>1280080</v>
      </c>
      <c r="H151" s="23" t="str" cm="1">
        <f t="array" ref="H151">IFERROR(INDEX(단어표[분류],MIN(IF(ISNUMBER(FIND(단어표[포함단어],표3[[#This Row],[내용]])),ROW(단어표[포함단어])-ROW(포함단어시작셀)+1,ROWS(단어표[포함단어])+1))),"")</f>
        <v>커피</v>
      </c>
      <c r="I151" s="23" t="str">
        <f>VLOOKUP(H151,분류표[],2,0)</f>
        <v>식비</v>
      </c>
      <c r="J151" s="24">
        <f t="shared" si="4"/>
        <v>44604</v>
      </c>
      <c r="K151" s="23">
        <f t="shared" si="5"/>
        <v>18</v>
      </c>
    </row>
    <row r="152" spans="1:11">
      <c r="A152" s="21">
        <v>44604</v>
      </c>
      <c r="B152" s="20" t="s">
        <v>300</v>
      </c>
      <c r="C152" s="20" t="s">
        <v>527</v>
      </c>
      <c r="D152" s="22">
        <v>8000</v>
      </c>
      <c r="E152" s="22"/>
      <c r="F152" s="20" t="s">
        <v>493</v>
      </c>
      <c r="G152" s="22">
        <v>1272080</v>
      </c>
      <c r="H152" s="23" t="str" cm="1">
        <f t="array" ref="H152">IFERROR(INDEX(단어표[분류],MIN(IF(ISNUMBER(FIND(단어표[포함단어],표3[[#This Row],[내용]])),ROW(단어표[포함단어])-ROW(포함단어시작셀)+1,ROWS(단어표[포함단어])+1))),"")</f>
        <v>커피</v>
      </c>
      <c r="I152" s="23" t="str">
        <f>VLOOKUP(H152,분류표[],2,0)</f>
        <v>식비</v>
      </c>
      <c r="J152" s="24">
        <f t="shared" si="4"/>
        <v>44604</v>
      </c>
      <c r="K152" s="23">
        <f t="shared" si="5"/>
        <v>20</v>
      </c>
    </row>
    <row r="153" spans="1:11">
      <c r="A153" s="21">
        <v>44604</v>
      </c>
      <c r="B153" s="20" t="s">
        <v>299</v>
      </c>
      <c r="C153" s="20" t="s">
        <v>527</v>
      </c>
      <c r="D153" s="22">
        <v>16600</v>
      </c>
      <c r="E153" s="22"/>
      <c r="F153" s="20" t="s">
        <v>606</v>
      </c>
      <c r="G153" s="22">
        <v>1255480</v>
      </c>
      <c r="H153" s="23" t="str" cm="1">
        <f t="array" ref="H153">IFERROR(INDEX(단어표[분류],MIN(IF(ISNUMBER(FIND(단어표[포함단어],표3[[#This Row],[내용]])),ROW(단어표[포함단어])-ROW(포함단어시작셀)+1,ROWS(단어표[포함단어])+1))),"")</f>
        <v>주식</v>
      </c>
      <c r="I153" s="23" t="str">
        <f>VLOOKUP(H153,분류표[],2,0)</f>
        <v>식비</v>
      </c>
      <c r="J153" s="24">
        <f t="shared" si="4"/>
        <v>44604</v>
      </c>
      <c r="K153" s="23">
        <f t="shared" si="5"/>
        <v>23</v>
      </c>
    </row>
    <row r="154" spans="1:11">
      <c r="A154" s="21">
        <v>44604</v>
      </c>
      <c r="B154" s="20" t="s">
        <v>298</v>
      </c>
      <c r="C154" s="20" t="s">
        <v>527</v>
      </c>
      <c r="D154" s="22">
        <v>4300</v>
      </c>
      <c r="E154" s="22"/>
      <c r="F154" s="20" t="s">
        <v>492</v>
      </c>
      <c r="G154" s="22">
        <v>1251180</v>
      </c>
      <c r="H154" s="23" t="str" cm="1">
        <f t="array" ref="H154">IFERROR(INDEX(단어표[분류],MIN(IF(ISNUMBER(FIND(단어표[포함단어],표3[[#This Row],[내용]])),ROW(단어표[포함단어])-ROW(포함단어시작셀)+1,ROWS(단어표[포함단어])+1))),"")</f>
        <v>기타식료품</v>
      </c>
      <c r="I154" s="23" t="str">
        <f>VLOOKUP(H154,분류표[],2,0)</f>
        <v>식비</v>
      </c>
      <c r="J154" s="24">
        <f t="shared" si="4"/>
        <v>44604</v>
      </c>
      <c r="K154" s="23">
        <f t="shared" si="5"/>
        <v>23</v>
      </c>
    </row>
    <row r="155" spans="1:11">
      <c r="A155" s="21">
        <v>44605</v>
      </c>
      <c r="B155" s="20" t="s">
        <v>297</v>
      </c>
      <c r="C155" s="20" t="s">
        <v>527</v>
      </c>
      <c r="D155" s="22">
        <v>4000</v>
      </c>
      <c r="E155" s="22"/>
      <c r="F155" s="20" t="s">
        <v>509</v>
      </c>
      <c r="G155" s="22">
        <v>1247180</v>
      </c>
      <c r="H155" s="23" t="str" cm="1">
        <f t="array" ref="H155">IFERROR(INDEX(단어표[분류],MIN(IF(ISNUMBER(FIND(단어표[포함단어],표3[[#This Row],[내용]])),ROW(단어표[포함단어])-ROW(포함단어시작셀)+1,ROWS(단어표[포함단어])+1))),"")</f>
        <v>간식</v>
      </c>
      <c r="I155" s="23" t="str">
        <f>VLOOKUP(H155,분류표[],2,0)</f>
        <v>식비</v>
      </c>
      <c r="J155" s="24">
        <f t="shared" si="4"/>
        <v>44605</v>
      </c>
      <c r="K155" s="23">
        <f t="shared" si="5"/>
        <v>16</v>
      </c>
    </row>
    <row r="156" spans="1:11">
      <c r="A156" s="21">
        <v>44606</v>
      </c>
      <c r="B156" s="20" t="s">
        <v>296</v>
      </c>
      <c r="C156" s="20" t="s">
        <v>527</v>
      </c>
      <c r="D156" s="22">
        <v>7600</v>
      </c>
      <c r="E156" s="22"/>
      <c r="F156" s="20" t="s">
        <v>496</v>
      </c>
      <c r="G156" s="22">
        <v>1239580</v>
      </c>
      <c r="H156" s="23" t="str" cm="1">
        <f t="array" ref="H156">IFERROR(INDEX(단어표[분류],MIN(IF(ISNUMBER(FIND(단어표[포함단어],표3[[#This Row],[내용]])),ROW(단어표[포함단어])-ROW(포함단어시작셀)+1,ROWS(단어표[포함단어])+1))),"")</f>
        <v>기타생활비</v>
      </c>
      <c r="I156" s="23" t="str">
        <f>VLOOKUP(H156,분류표[],2,0)</f>
        <v>생활비</v>
      </c>
      <c r="J156" s="24">
        <f t="shared" si="4"/>
        <v>44606</v>
      </c>
      <c r="K156" s="23">
        <f t="shared" si="5"/>
        <v>12</v>
      </c>
    </row>
    <row r="157" spans="1:11">
      <c r="A157" s="21">
        <v>44606</v>
      </c>
      <c r="B157" s="20" t="s">
        <v>295</v>
      </c>
      <c r="C157" s="20" t="s">
        <v>164</v>
      </c>
      <c r="D157" s="22">
        <v>26700</v>
      </c>
      <c r="E157" s="22"/>
      <c r="F157" s="20" t="s">
        <v>469</v>
      </c>
      <c r="G157" s="22">
        <v>1212880</v>
      </c>
      <c r="H157" s="23" t="str" cm="1">
        <f t="array" ref="H157">IFERROR(INDEX(단어표[분류],MIN(IF(ISNUMBER(FIND(단어표[포함단어],표3[[#This Row],[내용]])),ROW(단어표[포함단어])-ROW(포함단어시작셀)+1,ROWS(단어표[포함단어])+1))),"")</f>
        <v>기타생활비</v>
      </c>
      <c r="I157" s="23" t="str">
        <f>VLOOKUP(H157,분류표[],2,0)</f>
        <v>생활비</v>
      </c>
      <c r="J157" s="24">
        <f t="shared" si="4"/>
        <v>44606</v>
      </c>
      <c r="K157" s="23">
        <f t="shared" si="5"/>
        <v>12</v>
      </c>
    </row>
    <row r="158" spans="1:11">
      <c r="A158" s="21">
        <v>44606</v>
      </c>
      <c r="B158" s="20" t="s">
        <v>294</v>
      </c>
      <c r="C158" s="20" t="s">
        <v>529</v>
      </c>
      <c r="D158" s="22">
        <v>2900</v>
      </c>
      <c r="E158" s="22"/>
      <c r="F158" s="20" t="s">
        <v>451</v>
      </c>
      <c r="G158" s="22">
        <v>1209980</v>
      </c>
      <c r="H158" s="23" t="str" cm="1">
        <f t="array" ref="H158">IFERROR(INDEX(단어표[분류],MIN(IF(ISNUMBER(FIND(단어표[포함단어],표3[[#This Row],[내용]])),ROW(단어표[포함단어])-ROW(포함단어시작셀)+1,ROWS(단어표[포함단어])+1))),"")</f>
        <v>생활용품</v>
      </c>
      <c r="I158" s="23" t="str">
        <f>VLOOKUP(H158,분류표[],2,0)</f>
        <v>생활비</v>
      </c>
      <c r="J158" s="24">
        <f t="shared" si="4"/>
        <v>44606</v>
      </c>
      <c r="K158" s="23">
        <f t="shared" si="5"/>
        <v>15</v>
      </c>
    </row>
    <row r="159" spans="1:11">
      <c r="A159" s="21">
        <v>44606</v>
      </c>
      <c r="B159" s="20" t="s">
        <v>293</v>
      </c>
      <c r="C159" s="20" t="s">
        <v>527</v>
      </c>
      <c r="D159" s="22">
        <v>5900</v>
      </c>
      <c r="E159" s="22"/>
      <c r="F159" s="20" t="s">
        <v>448</v>
      </c>
      <c r="G159" s="22">
        <v>1204080</v>
      </c>
      <c r="H159" s="23" t="str" cm="1">
        <f t="array" ref="H159">IFERROR(INDEX(단어표[분류],MIN(IF(ISNUMBER(FIND(단어표[포함단어],표3[[#This Row],[내용]])),ROW(단어표[포함단어])-ROW(포함단어시작셀)+1,ROWS(단어표[포함단어])+1))),"")</f>
        <v>주식</v>
      </c>
      <c r="I159" s="23" t="str">
        <f>VLOOKUP(H159,분류표[],2,0)</f>
        <v>식비</v>
      </c>
      <c r="J159" s="24">
        <f t="shared" si="4"/>
        <v>44606</v>
      </c>
      <c r="K159" s="23">
        <f t="shared" si="5"/>
        <v>15</v>
      </c>
    </row>
    <row r="160" spans="1:11">
      <c r="A160" s="21">
        <v>44606</v>
      </c>
      <c r="B160" s="20" t="s">
        <v>292</v>
      </c>
      <c r="C160" s="20" t="s">
        <v>527</v>
      </c>
      <c r="D160" s="22">
        <v>3600</v>
      </c>
      <c r="E160" s="22"/>
      <c r="F160" s="20" t="s">
        <v>493</v>
      </c>
      <c r="G160" s="22">
        <v>1200480</v>
      </c>
      <c r="H160" s="23" t="str" cm="1">
        <f t="array" ref="H160">IFERROR(INDEX(단어표[분류],MIN(IF(ISNUMBER(FIND(단어표[포함단어],표3[[#This Row],[내용]])),ROW(단어표[포함단어])-ROW(포함단어시작셀)+1,ROWS(단어표[포함단어])+1))),"")</f>
        <v>커피</v>
      </c>
      <c r="I160" s="23" t="str">
        <f>VLOOKUP(H160,분류표[],2,0)</f>
        <v>식비</v>
      </c>
      <c r="J160" s="24">
        <f t="shared" si="4"/>
        <v>44606</v>
      </c>
      <c r="K160" s="23">
        <f t="shared" si="5"/>
        <v>15</v>
      </c>
    </row>
    <row r="161" spans="1:11">
      <c r="A161" s="21">
        <v>44607</v>
      </c>
      <c r="B161" s="20" t="s">
        <v>291</v>
      </c>
      <c r="C161" s="20" t="s">
        <v>527</v>
      </c>
      <c r="D161" s="22">
        <v>20400</v>
      </c>
      <c r="E161" s="22"/>
      <c r="F161" s="20" t="s">
        <v>607</v>
      </c>
      <c r="G161" s="22">
        <v>1180080</v>
      </c>
      <c r="H161" s="23" t="str" cm="1">
        <f t="array" ref="H161">IFERROR(INDEX(단어표[분류],MIN(IF(ISNUMBER(FIND(단어표[포함단어],표3[[#This Row],[내용]])),ROW(단어표[포함단어])-ROW(포함단어시작셀)+1,ROWS(단어표[포함단어])+1))),"")</f>
        <v>주식</v>
      </c>
      <c r="I161" s="23" t="str">
        <f>VLOOKUP(H161,분류표[],2,0)</f>
        <v>식비</v>
      </c>
      <c r="J161" s="24">
        <f t="shared" si="4"/>
        <v>44607</v>
      </c>
      <c r="K161" s="23">
        <f t="shared" si="5"/>
        <v>14</v>
      </c>
    </row>
    <row r="162" spans="1:11">
      <c r="A162" s="21">
        <v>44607</v>
      </c>
      <c r="B162" s="20" t="s">
        <v>290</v>
      </c>
      <c r="C162" s="20" t="s">
        <v>527</v>
      </c>
      <c r="D162" s="22">
        <v>21700</v>
      </c>
      <c r="E162" s="22"/>
      <c r="F162" s="20" t="s">
        <v>608</v>
      </c>
      <c r="G162" s="22">
        <v>1158380</v>
      </c>
      <c r="H162" s="23" t="str" cm="1">
        <f t="array" ref="H162">IFERROR(INDEX(단어표[분류],MIN(IF(ISNUMBER(FIND(단어표[포함단어],표3[[#This Row],[내용]])),ROW(단어표[포함단어])-ROW(포함단어시작셀)+1,ROWS(단어표[포함단어])+1))),"")</f>
        <v>주식</v>
      </c>
      <c r="I162" s="23" t="str">
        <f>VLOOKUP(H162,분류표[],2,0)</f>
        <v>식비</v>
      </c>
      <c r="J162" s="24">
        <f t="shared" si="4"/>
        <v>44607</v>
      </c>
      <c r="K162" s="23">
        <f t="shared" si="5"/>
        <v>21</v>
      </c>
    </row>
    <row r="163" spans="1:11">
      <c r="A163" s="21">
        <v>44608</v>
      </c>
      <c r="B163" s="20" t="s">
        <v>289</v>
      </c>
      <c r="C163" s="20" t="s">
        <v>527</v>
      </c>
      <c r="D163" s="22">
        <v>18100</v>
      </c>
      <c r="E163" s="22"/>
      <c r="F163" s="20" t="s">
        <v>519</v>
      </c>
      <c r="G163" s="22">
        <v>1140280</v>
      </c>
      <c r="H163" s="23" t="str" cm="1">
        <f t="array" ref="H163">IFERROR(INDEX(단어표[분류],MIN(IF(ISNUMBER(FIND(단어표[포함단어],표3[[#This Row],[내용]])),ROW(단어표[포함단어])-ROW(포함단어시작셀)+1,ROWS(단어표[포함단어])+1))),"")</f>
        <v>스포츠</v>
      </c>
      <c r="I163" s="23" t="str">
        <f>VLOOKUP(H163,분류표[],2,0)</f>
        <v>문화생활비</v>
      </c>
      <c r="J163" s="24">
        <f t="shared" si="4"/>
        <v>44608</v>
      </c>
      <c r="K163" s="23">
        <f t="shared" si="5"/>
        <v>0</v>
      </c>
    </row>
    <row r="164" spans="1:11">
      <c r="A164" s="21">
        <v>44608</v>
      </c>
      <c r="B164" s="20" t="s">
        <v>175</v>
      </c>
      <c r="C164" s="20" t="s">
        <v>460</v>
      </c>
      <c r="D164" s="22">
        <v>205600</v>
      </c>
      <c r="E164" s="22"/>
      <c r="F164" s="20" t="s">
        <v>470</v>
      </c>
      <c r="G164" s="22">
        <v>934680</v>
      </c>
      <c r="H164" s="23" t="str" cm="1">
        <f t="array" ref="H164">IFERROR(INDEX(단어표[분류],MIN(IF(ISNUMBER(FIND(단어표[포함단어],표3[[#This Row],[내용]])),ROW(단어표[포함단어])-ROW(포함단어시작셀)+1,ROWS(단어표[포함단어])+1))),"")</f>
        <v>사무실비</v>
      </c>
      <c r="I164" s="23" t="str">
        <f>VLOOKUP(H164,분류표[],2,0)</f>
        <v>사업운영비</v>
      </c>
      <c r="J164" s="24">
        <f t="shared" si="4"/>
        <v>44608</v>
      </c>
      <c r="K164" s="23">
        <f t="shared" si="5"/>
        <v>17</v>
      </c>
    </row>
    <row r="165" spans="1:11">
      <c r="A165" s="21">
        <v>44609</v>
      </c>
      <c r="B165" s="20" t="s">
        <v>288</v>
      </c>
      <c r="C165" s="20" t="s">
        <v>527</v>
      </c>
      <c r="D165" s="22">
        <v>12000</v>
      </c>
      <c r="E165" s="22"/>
      <c r="F165" s="20" t="s">
        <v>484</v>
      </c>
      <c r="G165" s="22">
        <v>922680</v>
      </c>
      <c r="H165" s="23" t="str" cm="1">
        <f t="array" ref="H165">IFERROR(INDEX(단어표[분류],MIN(IF(ISNUMBER(FIND(단어표[포함단어],표3[[#This Row],[내용]])),ROW(단어표[포함단어])-ROW(포함단어시작셀)+1,ROWS(단어표[포함단어])+1))),"")</f>
        <v>주식</v>
      </c>
      <c r="I165" s="23" t="str">
        <f>VLOOKUP(H165,분류표[],2,0)</f>
        <v>식비</v>
      </c>
      <c r="J165" s="24">
        <f t="shared" si="4"/>
        <v>44609</v>
      </c>
      <c r="K165" s="23">
        <f t="shared" si="5"/>
        <v>16</v>
      </c>
    </row>
    <row r="166" spans="1:11">
      <c r="A166" s="21">
        <v>44610</v>
      </c>
      <c r="B166" s="20" t="s">
        <v>287</v>
      </c>
      <c r="C166" s="20" t="s">
        <v>527</v>
      </c>
      <c r="D166" s="22">
        <v>14300</v>
      </c>
      <c r="E166" s="22"/>
      <c r="F166" s="20" t="s">
        <v>492</v>
      </c>
      <c r="G166" s="22">
        <v>908380</v>
      </c>
      <c r="H166" s="23" t="str" cm="1">
        <f t="array" ref="H166">IFERROR(INDEX(단어표[분류],MIN(IF(ISNUMBER(FIND(단어표[포함단어],표3[[#This Row],[내용]])),ROW(단어표[포함단어])-ROW(포함단어시작셀)+1,ROWS(단어표[포함단어])+1))),"")</f>
        <v>기타식료품</v>
      </c>
      <c r="I166" s="23" t="str">
        <f>VLOOKUP(H166,분류표[],2,0)</f>
        <v>식비</v>
      </c>
      <c r="J166" s="24">
        <f t="shared" si="4"/>
        <v>44610</v>
      </c>
      <c r="K166" s="23">
        <f t="shared" si="5"/>
        <v>0</v>
      </c>
    </row>
    <row r="167" spans="1:11">
      <c r="A167" s="21">
        <v>44610</v>
      </c>
      <c r="B167" s="20" t="s">
        <v>286</v>
      </c>
      <c r="C167" s="20" t="s">
        <v>527</v>
      </c>
      <c r="D167" s="22">
        <v>25800</v>
      </c>
      <c r="E167" s="22"/>
      <c r="F167" s="20" t="s">
        <v>519</v>
      </c>
      <c r="G167" s="22">
        <v>882580</v>
      </c>
      <c r="H167" s="23" t="str" cm="1">
        <f t="array" ref="H167">IFERROR(INDEX(단어표[분류],MIN(IF(ISNUMBER(FIND(단어표[포함단어],표3[[#This Row],[내용]])),ROW(단어표[포함단어])-ROW(포함단어시작셀)+1,ROWS(단어표[포함단어])+1))),"")</f>
        <v>스포츠</v>
      </c>
      <c r="I167" s="23" t="str">
        <f>VLOOKUP(H167,분류표[],2,0)</f>
        <v>문화생활비</v>
      </c>
      <c r="J167" s="24">
        <f t="shared" si="4"/>
        <v>44610</v>
      </c>
      <c r="K167" s="23">
        <f t="shared" si="5"/>
        <v>20</v>
      </c>
    </row>
    <row r="168" spans="1:11">
      <c r="A168" s="21">
        <v>44611</v>
      </c>
      <c r="B168" s="20" t="s">
        <v>285</v>
      </c>
      <c r="C168" s="20" t="s">
        <v>529</v>
      </c>
      <c r="D168" s="22">
        <v>1200</v>
      </c>
      <c r="E168" s="22"/>
      <c r="F168" s="20" t="s">
        <v>451</v>
      </c>
      <c r="G168" s="22">
        <v>881380</v>
      </c>
      <c r="H168" s="23" t="str" cm="1">
        <f t="array" ref="H168">IFERROR(INDEX(단어표[분류],MIN(IF(ISNUMBER(FIND(단어표[포함단어],표3[[#This Row],[내용]])),ROW(단어표[포함단어])-ROW(포함단어시작셀)+1,ROWS(단어표[포함단어])+1))),"")</f>
        <v>생활용품</v>
      </c>
      <c r="I168" s="23" t="str">
        <f>VLOOKUP(H168,분류표[],2,0)</f>
        <v>생활비</v>
      </c>
      <c r="J168" s="24">
        <f t="shared" si="4"/>
        <v>44611</v>
      </c>
      <c r="K168" s="23">
        <f t="shared" si="5"/>
        <v>17</v>
      </c>
    </row>
    <row r="169" spans="1:11">
      <c r="A169" s="21">
        <v>44611</v>
      </c>
      <c r="B169" s="20" t="s">
        <v>284</v>
      </c>
      <c r="C169" s="20" t="s">
        <v>527</v>
      </c>
      <c r="D169" s="22">
        <v>3600</v>
      </c>
      <c r="E169" s="22"/>
      <c r="F169" s="20" t="s">
        <v>493</v>
      </c>
      <c r="G169" s="22">
        <v>877780</v>
      </c>
      <c r="H169" s="23" t="str" cm="1">
        <f t="array" ref="H169">IFERROR(INDEX(단어표[분류],MIN(IF(ISNUMBER(FIND(단어표[포함단어],표3[[#This Row],[내용]])),ROW(단어표[포함단어])-ROW(포함단어시작셀)+1,ROWS(단어표[포함단어])+1))),"")</f>
        <v>커피</v>
      </c>
      <c r="I169" s="23" t="str">
        <f>VLOOKUP(H169,분류표[],2,0)</f>
        <v>식비</v>
      </c>
      <c r="J169" s="24">
        <f t="shared" si="4"/>
        <v>44611</v>
      </c>
      <c r="K169" s="23">
        <f t="shared" si="5"/>
        <v>17</v>
      </c>
    </row>
    <row r="170" spans="1:11">
      <c r="A170" s="21">
        <v>44611</v>
      </c>
      <c r="B170" s="20" t="s">
        <v>283</v>
      </c>
      <c r="C170" s="20" t="s">
        <v>527</v>
      </c>
      <c r="D170" s="22">
        <v>11800</v>
      </c>
      <c r="E170" s="22"/>
      <c r="F170" s="20" t="s">
        <v>609</v>
      </c>
      <c r="G170" s="22">
        <v>865980</v>
      </c>
      <c r="H170" s="23" t="str" cm="1">
        <f t="array" ref="H170">IFERROR(INDEX(단어표[분류],MIN(IF(ISNUMBER(FIND(단어표[포함단어],표3[[#This Row],[내용]])),ROW(단어표[포함단어])-ROW(포함단어시작셀)+1,ROWS(단어표[포함단어])+1))),"")</f>
        <v>주식</v>
      </c>
      <c r="I170" s="23" t="str">
        <f>VLOOKUP(H170,분류표[],2,0)</f>
        <v>식비</v>
      </c>
      <c r="J170" s="24">
        <f t="shared" si="4"/>
        <v>44611</v>
      </c>
      <c r="K170" s="23">
        <f t="shared" si="5"/>
        <v>23</v>
      </c>
    </row>
    <row r="171" spans="1:11">
      <c r="A171" s="21">
        <v>44613</v>
      </c>
      <c r="B171" s="20" t="s">
        <v>282</v>
      </c>
      <c r="C171" s="20" t="s">
        <v>527</v>
      </c>
      <c r="D171" s="22">
        <v>29000</v>
      </c>
      <c r="E171" s="22"/>
      <c r="F171" s="20" t="s">
        <v>13</v>
      </c>
      <c r="G171" s="22">
        <v>836980</v>
      </c>
      <c r="H171" s="23" t="str" cm="1">
        <f t="array" ref="H171">IFERROR(INDEX(단어표[분류],MIN(IF(ISNUMBER(FIND(단어표[포함단어],표3[[#This Row],[내용]])),ROW(단어표[포함단어])-ROW(포함단어시작셀)+1,ROWS(단어표[포함단어])+1))),"")</f>
        <v>생활용품</v>
      </c>
      <c r="I171" s="23" t="str">
        <f>VLOOKUP(H171,분류표[],2,0)</f>
        <v>생활비</v>
      </c>
      <c r="J171" s="24">
        <f t="shared" si="4"/>
        <v>44613</v>
      </c>
      <c r="K171" s="23">
        <f t="shared" si="5"/>
        <v>9</v>
      </c>
    </row>
    <row r="172" spans="1:11">
      <c r="A172" s="21">
        <v>44613</v>
      </c>
      <c r="B172" s="20" t="s">
        <v>281</v>
      </c>
      <c r="C172" s="20" t="s">
        <v>527</v>
      </c>
      <c r="D172" s="22">
        <v>16600</v>
      </c>
      <c r="E172" s="22"/>
      <c r="F172" s="20" t="s">
        <v>486</v>
      </c>
      <c r="G172" s="22">
        <v>820380</v>
      </c>
      <c r="H172" s="23" t="str" cm="1">
        <f t="array" ref="H172">IFERROR(INDEX(단어표[분류],MIN(IF(ISNUMBER(FIND(단어표[포함단어],표3[[#This Row],[내용]])),ROW(단어표[포함단어])-ROW(포함단어시작셀)+1,ROWS(단어표[포함단어])+1))),"")</f>
        <v>업무관련</v>
      </c>
      <c r="I172" s="23" t="str">
        <f>VLOOKUP(H172,분류표[],2,0)</f>
        <v>사업운영비</v>
      </c>
      <c r="J172" s="24">
        <f t="shared" si="4"/>
        <v>44613</v>
      </c>
      <c r="K172" s="23">
        <f t="shared" si="5"/>
        <v>9</v>
      </c>
    </row>
    <row r="173" spans="1:11">
      <c r="A173" s="21">
        <v>44613</v>
      </c>
      <c r="B173" s="20" t="s">
        <v>280</v>
      </c>
      <c r="C173" s="20" t="s">
        <v>527</v>
      </c>
      <c r="D173" s="22">
        <v>4200</v>
      </c>
      <c r="E173" s="22"/>
      <c r="F173" s="20" t="s">
        <v>459</v>
      </c>
      <c r="G173" s="22">
        <v>816180</v>
      </c>
      <c r="H173" s="23" t="str" cm="1">
        <f t="array" ref="H173">IFERROR(INDEX(단어표[분류],MIN(IF(ISNUMBER(FIND(단어표[포함단어],표3[[#This Row],[내용]])),ROW(단어표[포함단어])-ROW(포함단어시작셀)+1,ROWS(단어표[포함단어])+1))),"")</f>
        <v>구독서비스</v>
      </c>
      <c r="I173" s="23" t="str">
        <f>VLOOKUP(H173,분류표[],2,0)</f>
        <v>생활비</v>
      </c>
      <c r="J173" s="24">
        <f t="shared" si="4"/>
        <v>44613</v>
      </c>
      <c r="K173" s="23">
        <f t="shared" si="5"/>
        <v>10</v>
      </c>
    </row>
    <row r="174" spans="1:11">
      <c r="A174" s="21">
        <v>44613</v>
      </c>
      <c r="B174" s="20" t="s">
        <v>279</v>
      </c>
      <c r="C174" s="20" t="s">
        <v>527</v>
      </c>
      <c r="D174" s="22">
        <v>3100</v>
      </c>
      <c r="E174" s="22"/>
      <c r="F174" s="20" t="s">
        <v>482</v>
      </c>
      <c r="G174" s="22">
        <v>813080</v>
      </c>
      <c r="H174" s="23" t="str" cm="1">
        <f t="array" ref="H174">IFERROR(INDEX(단어표[분류],MIN(IF(ISNUMBER(FIND(단어표[포함단어],표3[[#This Row],[내용]])),ROW(단어표[포함단어])-ROW(포함단어시작셀)+1,ROWS(단어표[포함단어])+1))),"")</f>
        <v>간식</v>
      </c>
      <c r="I174" s="23" t="str">
        <f>VLOOKUP(H174,분류표[],2,0)</f>
        <v>식비</v>
      </c>
      <c r="J174" s="24">
        <f t="shared" si="4"/>
        <v>44613</v>
      </c>
      <c r="K174" s="23">
        <f t="shared" si="5"/>
        <v>11</v>
      </c>
    </row>
    <row r="175" spans="1:11">
      <c r="A175" s="21">
        <v>44613</v>
      </c>
      <c r="B175" s="20" t="s">
        <v>278</v>
      </c>
      <c r="C175" s="20" t="s">
        <v>527</v>
      </c>
      <c r="D175" s="22">
        <v>18400</v>
      </c>
      <c r="E175" s="22"/>
      <c r="F175" s="20" t="s">
        <v>450</v>
      </c>
      <c r="G175" s="22">
        <v>794680</v>
      </c>
      <c r="H175" s="23" t="str" cm="1">
        <f t="array" ref="H175">IFERROR(INDEX(단어표[분류],MIN(IF(ISNUMBER(FIND(단어표[포함단어],표3[[#This Row],[내용]])),ROW(단어표[포함단어])-ROW(포함단어시작셀)+1,ROWS(단어표[포함단어])+1))),"")</f>
        <v>기타생활비</v>
      </c>
      <c r="I175" s="23" t="str">
        <f>VLOOKUP(H175,분류표[],2,0)</f>
        <v>생활비</v>
      </c>
      <c r="J175" s="24">
        <f t="shared" si="4"/>
        <v>44613</v>
      </c>
      <c r="K175" s="23">
        <f t="shared" si="5"/>
        <v>12</v>
      </c>
    </row>
    <row r="176" spans="1:11">
      <c r="A176" s="21">
        <v>44613</v>
      </c>
      <c r="B176" s="20" t="s">
        <v>277</v>
      </c>
      <c r="C176" s="20" t="s">
        <v>527</v>
      </c>
      <c r="D176" s="22">
        <v>2600</v>
      </c>
      <c r="E176" s="22"/>
      <c r="F176" s="20" t="s">
        <v>496</v>
      </c>
      <c r="G176" s="22">
        <v>792080</v>
      </c>
      <c r="H176" s="23" t="str" cm="1">
        <f t="array" ref="H176">IFERROR(INDEX(단어표[분류],MIN(IF(ISNUMBER(FIND(단어표[포함단어],표3[[#This Row],[내용]])),ROW(단어표[포함단어])-ROW(포함단어시작셀)+1,ROWS(단어표[포함단어])+1))),"")</f>
        <v>기타생활비</v>
      </c>
      <c r="I176" s="23" t="str">
        <f>VLOOKUP(H176,분류표[],2,0)</f>
        <v>생활비</v>
      </c>
      <c r="J176" s="24">
        <f t="shared" si="4"/>
        <v>44613</v>
      </c>
      <c r="K176" s="23">
        <f t="shared" si="5"/>
        <v>15</v>
      </c>
    </row>
    <row r="177" spans="1:11">
      <c r="A177" s="21">
        <v>44613</v>
      </c>
      <c r="B177" s="20" t="s">
        <v>276</v>
      </c>
      <c r="C177" s="20" t="s">
        <v>527</v>
      </c>
      <c r="D177" s="22">
        <v>30700</v>
      </c>
      <c r="E177" s="22"/>
      <c r="F177" s="20" t="s">
        <v>453</v>
      </c>
      <c r="G177" s="22">
        <v>761380</v>
      </c>
      <c r="H177" s="23" t="str" cm="1">
        <f t="array" ref="H177">IFERROR(INDEX(단어표[분류],MIN(IF(ISNUMBER(FIND(단어표[포함단어],표3[[#This Row],[내용]])),ROW(단어표[포함단어])-ROW(포함단어시작셀)+1,ROWS(단어표[포함단어])+1))),"")</f>
        <v>업무관련</v>
      </c>
      <c r="I177" s="23" t="str">
        <f>VLOOKUP(H177,분류표[],2,0)</f>
        <v>사업운영비</v>
      </c>
      <c r="J177" s="24">
        <f t="shared" si="4"/>
        <v>44613</v>
      </c>
      <c r="K177" s="23">
        <f t="shared" si="5"/>
        <v>18</v>
      </c>
    </row>
    <row r="178" spans="1:11">
      <c r="A178" s="21">
        <v>44613</v>
      </c>
      <c r="B178" s="20" t="s">
        <v>275</v>
      </c>
      <c r="C178" s="20" t="s">
        <v>527</v>
      </c>
      <c r="D178" s="22">
        <v>9700</v>
      </c>
      <c r="E178" s="22"/>
      <c r="F178" s="20" t="s">
        <v>127</v>
      </c>
      <c r="G178" s="22">
        <v>751680</v>
      </c>
      <c r="H178" s="23" t="str" cm="1">
        <f t="array" ref="H178">IFERROR(INDEX(단어표[분류],MIN(IF(ISNUMBER(FIND(단어표[포함단어],표3[[#This Row],[내용]])),ROW(단어표[포함단어])-ROW(포함단어시작셀)+1,ROWS(단어표[포함단어])+1))),"")</f>
        <v>주식</v>
      </c>
      <c r="I178" s="23" t="str">
        <f>VLOOKUP(H178,분류표[],2,0)</f>
        <v>식비</v>
      </c>
      <c r="J178" s="24">
        <f t="shared" si="4"/>
        <v>44613</v>
      </c>
      <c r="K178" s="23">
        <f t="shared" si="5"/>
        <v>22</v>
      </c>
    </row>
    <row r="179" spans="1:11">
      <c r="A179" s="21">
        <v>44613</v>
      </c>
      <c r="B179" s="20" t="s">
        <v>274</v>
      </c>
      <c r="C179" s="20" t="s">
        <v>527</v>
      </c>
      <c r="D179" s="22">
        <v>7000</v>
      </c>
      <c r="E179" s="22"/>
      <c r="F179" s="20" t="s">
        <v>492</v>
      </c>
      <c r="G179" s="22">
        <v>744680</v>
      </c>
      <c r="H179" s="23" t="str" cm="1">
        <f t="array" ref="H179">IFERROR(INDEX(단어표[분류],MIN(IF(ISNUMBER(FIND(단어표[포함단어],표3[[#This Row],[내용]])),ROW(단어표[포함단어])-ROW(포함단어시작셀)+1,ROWS(단어표[포함단어])+1))),"")</f>
        <v>기타식료품</v>
      </c>
      <c r="I179" s="23" t="str">
        <f>VLOOKUP(H179,분류표[],2,0)</f>
        <v>식비</v>
      </c>
      <c r="J179" s="24">
        <f t="shared" si="4"/>
        <v>44613</v>
      </c>
      <c r="K179" s="23">
        <f t="shared" si="5"/>
        <v>22</v>
      </c>
    </row>
    <row r="180" spans="1:11">
      <c r="A180" s="21">
        <v>44614</v>
      </c>
      <c r="B180" s="20" t="s">
        <v>273</v>
      </c>
      <c r="C180" s="20" t="s">
        <v>527</v>
      </c>
      <c r="D180" s="22">
        <v>3700</v>
      </c>
      <c r="E180" s="22"/>
      <c r="F180" s="20" t="s">
        <v>493</v>
      </c>
      <c r="G180" s="22">
        <v>740980</v>
      </c>
      <c r="H180" s="23" t="str" cm="1">
        <f t="array" ref="H180">IFERROR(INDEX(단어표[분류],MIN(IF(ISNUMBER(FIND(단어표[포함단어],표3[[#This Row],[내용]])),ROW(단어표[포함단어])-ROW(포함단어시작셀)+1,ROWS(단어표[포함단어])+1))),"")</f>
        <v>커피</v>
      </c>
      <c r="I180" s="23" t="str">
        <f>VLOOKUP(H180,분류표[],2,0)</f>
        <v>식비</v>
      </c>
      <c r="J180" s="24">
        <f t="shared" si="4"/>
        <v>44614</v>
      </c>
      <c r="K180" s="23">
        <f t="shared" si="5"/>
        <v>15</v>
      </c>
    </row>
    <row r="181" spans="1:11">
      <c r="A181" s="21">
        <v>44614</v>
      </c>
      <c r="B181" s="20" t="s">
        <v>272</v>
      </c>
      <c r="C181" s="20" t="s">
        <v>527</v>
      </c>
      <c r="D181" s="22">
        <v>12500</v>
      </c>
      <c r="E181" s="22"/>
      <c r="F181" s="20" t="s">
        <v>610</v>
      </c>
      <c r="G181" s="22">
        <v>728480</v>
      </c>
      <c r="H181" s="23" t="str" cm="1">
        <f t="array" ref="H181">IFERROR(INDEX(단어표[분류],MIN(IF(ISNUMBER(FIND(단어표[포함단어],표3[[#This Row],[내용]])),ROW(단어표[포함단어])-ROW(포함단어시작셀)+1,ROWS(단어표[포함단어])+1))),"")</f>
        <v>주식</v>
      </c>
      <c r="I181" s="23" t="str">
        <f>VLOOKUP(H181,분류표[],2,0)</f>
        <v>식비</v>
      </c>
      <c r="J181" s="24">
        <f t="shared" si="4"/>
        <v>44614</v>
      </c>
      <c r="K181" s="23">
        <f t="shared" si="5"/>
        <v>21</v>
      </c>
    </row>
    <row r="182" spans="1:11">
      <c r="A182" s="21">
        <v>44615</v>
      </c>
      <c r="B182" s="20" t="s">
        <v>30</v>
      </c>
      <c r="C182" s="20" t="s">
        <v>527</v>
      </c>
      <c r="D182" s="22">
        <v>1500</v>
      </c>
      <c r="E182" s="22"/>
      <c r="F182" s="20" t="s">
        <v>31</v>
      </c>
      <c r="G182" s="22">
        <v>726980</v>
      </c>
      <c r="H182" s="23" t="str" cm="1">
        <f t="array" ref="H182">IFERROR(INDEX(단어표[분류],MIN(IF(ISNUMBER(FIND(단어표[포함단어],표3[[#This Row],[내용]])),ROW(단어표[포함단어])-ROW(포함단어시작셀)+1,ROWS(단어표[포함단어])+1))),"")</f>
        <v>구독서비스</v>
      </c>
      <c r="I182" s="23" t="str">
        <f>VLOOKUP(H182,분류표[],2,0)</f>
        <v>생활비</v>
      </c>
      <c r="J182" s="24">
        <f t="shared" si="4"/>
        <v>44615</v>
      </c>
      <c r="K182" s="23">
        <f t="shared" si="5"/>
        <v>2</v>
      </c>
    </row>
    <row r="183" spans="1:11">
      <c r="A183" s="21">
        <v>44615</v>
      </c>
      <c r="B183" s="20" t="s">
        <v>271</v>
      </c>
      <c r="C183" s="20" t="s">
        <v>527</v>
      </c>
      <c r="D183" s="22">
        <v>7600</v>
      </c>
      <c r="E183" s="22"/>
      <c r="F183" s="20" t="s">
        <v>494</v>
      </c>
      <c r="G183" s="22">
        <v>719380</v>
      </c>
      <c r="H183" s="23" t="str" cm="1">
        <f t="array" ref="H183">IFERROR(INDEX(단어표[분류],MIN(IF(ISNUMBER(FIND(단어표[포함단어],표3[[#This Row],[내용]])),ROW(단어표[포함단어])-ROW(포함단어시작셀)+1,ROWS(단어표[포함단어])+1))),"")</f>
        <v>커피</v>
      </c>
      <c r="I183" s="23" t="str">
        <f>VLOOKUP(H183,분류표[],2,0)</f>
        <v>식비</v>
      </c>
      <c r="J183" s="24">
        <f t="shared" si="4"/>
        <v>44615</v>
      </c>
      <c r="K183" s="23">
        <f t="shared" si="5"/>
        <v>15</v>
      </c>
    </row>
    <row r="184" spans="1:11">
      <c r="A184" s="21">
        <v>44615</v>
      </c>
      <c r="B184" s="20" t="s">
        <v>270</v>
      </c>
      <c r="C184" s="20" t="s">
        <v>527</v>
      </c>
      <c r="D184" s="22">
        <v>2900</v>
      </c>
      <c r="E184" s="22"/>
      <c r="F184" s="20" t="s">
        <v>492</v>
      </c>
      <c r="G184" s="22">
        <v>716480</v>
      </c>
      <c r="H184" s="23" t="str" cm="1">
        <f t="array" ref="H184">IFERROR(INDEX(단어표[분류],MIN(IF(ISNUMBER(FIND(단어표[포함단어],표3[[#This Row],[내용]])),ROW(단어표[포함단어])-ROW(포함단어시작셀)+1,ROWS(단어표[포함단어])+1))),"")</f>
        <v>기타식료품</v>
      </c>
      <c r="I184" s="23" t="str">
        <f>VLOOKUP(H184,분류표[],2,0)</f>
        <v>식비</v>
      </c>
      <c r="J184" s="24">
        <f t="shared" si="4"/>
        <v>44615</v>
      </c>
      <c r="K184" s="23">
        <f t="shared" si="5"/>
        <v>16</v>
      </c>
    </row>
    <row r="185" spans="1:11">
      <c r="A185" s="21">
        <v>44616</v>
      </c>
      <c r="B185" s="20" t="s">
        <v>269</v>
      </c>
      <c r="C185" s="20" t="s">
        <v>527</v>
      </c>
      <c r="D185" s="22">
        <v>7000</v>
      </c>
      <c r="E185" s="22"/>
      <c r="F185" s="20" t="s">
        <v>450</v>
      </c>
      <c r="G185" s="22">
        <v>709480</v>
      </c>
      <c r="H185" s="23" t="str" cm="1">
        <f t="array" ref="H185">IFERROR(INDEX(단어표[분류],MIN(IF(ISNUMBER(FIND(단어표[포함단어],표3[[#This Row],[내용]])),ROW(단어표[포함단어])-ROW(포함단어시작셀)+1,ROWS(단어표[포함단어])+1))),"")</f>
        <v>기타생활비</v>
      </c>
      <c r="I185" s="23" t="str">
        <f>VLOOKUP(H185,분류표[],2,0)</f>
        <v>생활비</v>
      </c>
      <c r="J185" s="24">
        <f t="shared" si="4"/>
        <v>44616</v>
      </c>
      <c r="K185" s="23">
        <f t="shared" si="5"/>
        <v>16</v>
      </c>
    </row>
    <row r="186" spans="1:11">
      <c r="A186" s="21">
        <v>44616</v>
      </c>
      <c r="B186" s="20" t="s">
        <v>268</v>
      </c>
      <c r="C186" s="20" t="s">
        <v>527</v>
      </c>
      <c r="D186" s="22">
        <v>5000</v>
      </c>
      <c r="E186" s="22"/>
      <c r="F186" s="20" t="s">
        <v>496</v>
      </c>
      <c r="G186" s="22">
        <v>704480</v>
      </c>
      <c r="H186" s="23" t="str" cm="1">
        <f t="array" ref="H186">IFERROR(INDEX(단어표[분류],MIN(IF(ISNUMBER(FIND(단어표[포함단어],표3[[#This Row],[내용]])),ROW(단어표[포함단어])-ROW(포함단어시작셀)+1,ROWS(단어표[포함단어])+1))),"")</f>
        <v>기타생활비</v>
      </c>
      <c r="I186" s="23" t="str">
        <f>VLOOKUP(H186,분류표[],2,0)</f>
        <v>생활비</v>
      </c>
      <c r="J186" s="24">
        <f t="shared" si="4"/>
        <v>44616</v>
      </c>
      <c r="K186" s="23">
        <f t="shared" si="5"/>
        <v>16</v>
      </c>
    </row>
    <row r="187" spans="1:11">
      <c r="A187" s="21">
        <v>44616</v>
      </c>
      <c r="B187" s="20" t="s">
        <v>266</v>
      </c>
      <c r="C187" s="20" t="s">
        <v>527</v>
      </c>
      <c r="D187" s="22">
        <v>216400</v>
      </c>
      <c r="E187" s="22"/>
      <c r="F187" s="20" t="s">
        <v>267</v>
      </c>
      <c r="G187" s="22">
        <v>488080</v>
      </c>
      <c r="H187" s="23" t="str" cm="1">
        <f t="array" ref="H187">IFERROR(INDEX(단어표[분류],MIN(IF(ISNUMBER(FIND(단어표[포함단어],표3[[#This Row],[내용]])),ROW(단어표[포함단어])-ROW(포함단어시작셀)+1,ROWS(단어표[포함단어])+1))),"")</f>
        <v>생활용품</v>
      </c>
      <c r="I187" s="23" t="str">
        <f>VLOOKUP(H187,분류표[],2,0)</f>
        <v>생활비</v>
      </c>
      <c r="J187" s="24">
        <f t="shared" si="4"/>
        <v>44616</v>
      </c>
      <c r="K187" s="23">
        <f t="shared" si="5"/>
        <v>20</v>
      </c>
    </row>
    <row r="188" spans="1:11">
      <c r="A188" s="21">
        <v>44617</v>
      </c>
      <c r="B188" s="25">
        <v>0.41828703703703707</v>
      </c>
      <c r="C188" s="20" t="s">
        <v>529</v>
      </c>
      <c r="D188" s="22"/>
      <c r="E188" s="22">
        <v>2271000</v>
      </c>
      <c r="F188" s="20" t="s">
        <v>528</v>
      </c>
      <c r="G188" s="22">
        <v>2759080</v>
      </c>
      <c r="H188" s="23" t="str" cm="1">
        <f t="array" ref="H188">IFERROR(INDEX(단어표[분류],MIN(IF(ISNUMBER(FIND(단어표[포함단어],표3[[#This Row],[내용]])),ROW(단어표[포함단어])-ROW(포함단어시작셀)+1,ROWS(단어표[포함단어])+1))),"")</f>
        <v>급여</v>
      </c>
      <c r="I188" s="23" t="str">
        <f>VLOOKUP(H188,분류표[],2,0)</f>
        <v>수입</v>
      </c>
      <c r="J188" s="24">
        <f t="shared" si="4"/>
        <v>44617</v>
      </c>
      <c r="K188" s="23">
        <f t="shared" si="5"/>
        <v>10</v>
      </c>
    </row>
    <row r="189" spans="1:11">
      <c r="A189" s="21">
        <v>44617</v>
      </c>
      <c r="B189" s="25">
        <v>0.42745370370370367</v>
      </c>
      <c r="C189" s="20" t="s">
        <v>642</v>
      </c>
      <c r="D189" s="22">
        <v>450000</v>
      </c>
      <c r="E189" s="22"/>
      <c r="F189" s="20" t="s">
        <v>647</v>
      </c>
      <c r="G189" s="22">
        <v>2309080</v>
      </c>
      <c r="H189" s="23" t="str" cm="1">
        <f t="array" ref="H189">IFERROR(INDEX(단어표[분류],MIN(IF(ISNUMBER(FIND(단어표[포함단어],표3[[#This Row],[내용]])),ROW(단어표[포함단어])-ROW(포함단어시작셀)+1,ROWS(단어표[포함단어])+1))),"")</f>
        <v>예적금</v>
      </c>
      <c r="I189" s="23" t="str">
        <f>VLOOKUP(H189,분류표[],2,0)</f>
        <v>투자비</v>
      </c>
      <c r="J189" s="24">
        <f t="shared" si="4"/>
        <v>44617</v>
      </c>
      <c r="K189" s="23">
        <f t="shared" si="5"/>
        <v>10</v>
      </c>
    </row>
    <row r="190" spans="1:11">
      <c r="A190" s="21">
        <v>44617</v>
      </c>
      <c r="B190" s="20" t="s">
        <v>265</v>
      </c>
      <c r="C190" s="20" t="s">
        <v>527</v>
      </c>
      <c r="D190" s="22">
        <v>4600</v>
      </c>
      <c r="E190" s="22"/>
      <c r="F190" s="20" t="s">
        <v>493</v>
      </c>
      <c r="G190" s="22">
        <v>2304480</v>
      </c>
      <c r="H190" s="23" t="str" cm="1">
        <f t="array" ref="H190">IFERROR(INDEX(단어표[분류],MIN(IF(ISNUMBER(FIND(단어표[포함단어],표3[[#This Row],[내용]])),ROW(단어표[포함단어])-ROW(포함단어시작셀)+1,ROWS(단어표[포함단어])+1))),"")</f>
        <v>커피</v>
      </c>
      <c r="I190" s="23" t="str">
        <f>VLOOKUP(H190,분류표[],2,0)</f>
        <v>식비</v>
      </c>
      <c r="J190" s="24">
        <f t="shared" si="4"/>
        <v>44617</v>
      </c>
      <c r="K190" s="23">
        <f t="shared" si="5"/>
        <v>15</v>
      </c>
    </row>
    <row r="191" spans="1:11">
      <c r="A191" s="21">
        <v>44617</v>
      </c>
      <c r="B191" s="20" t="s">
        <v>264</v>
      </c>
      <c r="C191" s="20" t="s">
        <v>462</v>
      </c>
      <c r="D191" s="22">
        <v>39600</v>
      </c>
      <c r="E191" s="22"/>
      <c r="F191" s="20" t="s">
        <v>487</v>
      </c>
      <c r="G191" s="22">
        <v>2264880</v>
      </c>
      <c r="H191" s="23" t="str" cm="1">
        <f t="array" ref="H191">IFERROR(INDEX(단어표[분류],MIN(IF(ISNUMBER(FIND(단어표[포함단어],표3[[#This Row],[내용]])),ROW(단어표[포함단어])-ROW(포함단어시작셀)+1,ROWS(단어표[포함단어])+1))),"")</f>
        <v>생명보험</v>
      </c>
      <c r="I191" s="23" t="str">
        <f>VLOOKUP(H191,분류표[],2,0)</f>
        <v>보험비</v>
      </c>
      <c r="J191" s="24">
        <f t="shared" si="4"/>
        <v>44617</v>
      </c>
      <c r="K191" s="23">
        <f t="shared" si="5"/>
        <v>18</v>
      </c>
    </row>
    <row r="192" spans="1:11">
      <c r="A192" s="21">
        <v>44617</v>
      </c>
      <c r="B192" s="20" t="s">
        <v>263</v>
      </c>
      <c r="C192" s="20" t="s">
        <v>529</v>
      </c>
      <c r="D192" s="22">
        <v>32100</v>
      </c>
      <c r="E192" s="22"/>
      <c r="F192" s="20" t="s">
        <v>491</v>
      </c>
      <c r="G192" s="22">
        <v>2232780</v>
      </c>
      <c r="H192" s="23" t="str" cm="1">
        <f t="array" ref="H192">IFERROR(INDEX(단어표[분류],MIN(IF(ISNUMBER(FIND(단어표[포함단어],표3[[#This Row],[내용]])),ROW(단어표[포함단어])-ROW(포함단어시작셀)+1,ROWS(단어표[포함단어])+1))),"")</f>
        <v>기부금</v>
      </c>
      <c r="I192" s="23" t="str">
        <f>VLOOKUP(H192,분류표[],2,0)</f>
        <v>경조사비</v>
      </c>
      <c r="J192" s="24">
        <f t="shared" si="4"/>
        <v>44617</v>
      </c>
      <c r="K192" s="23">
        <f t="shared" si="5"/>
        <v>19</v>
      </c>
    </row>
    <row r="193" spans="1:11">
      <c r="A193" s="21">
        <v>44617</v>
      </c>
      <c r="B193" s="20" t="s">
        <v>262</v>
      </c>
      <c r="C193" s="20" t="s">
        <v>527</v>
      </c>
      <c r="D193" s="22">
        <v>9200</v>
      </c>
      <c r="E193" s="22"/>
      <c r="F193" s="20" t="s">
        <v>480</v>
      </c>
      <c r="G193" s="22">
        <v>2223580</v>
      </c>
      <c r="H193" s="23" t="str" cm="1">
        <f t="array" ref="H193">IFERROR(INDEX(단어표[분류],MIN(IF(ISNUMBER(FIND(단어표[포함단어],표3[[#This Row],[내용]])),ROW(단어표[포함단어])-ROW(포함단어시작셀)+1,ROWS(단어표[포함단어])+1))),"")</f>
        <v>주식</v>
      </c>
      <c r="I193" s="23" t="str">
        <f>VLOOKUP(H193,분류표[],2,0)</f>
        <v>식비</v>
      </c>
      <c r="J193" s="24">
        <f t="shared" si="4"/>
        <v>44617</v>
      </c>
      <c r="K193" s="23">
        <f t="shared" si="5"/>
        <v>21</v>
      </c>
    </row>
    <row r="194" spans="1:11">
      <c r="A194" s="21">
        <v>44617</v>
      </c>
      <c r="B194" s="20" t="s">
        <v>261</v>
      </c>
      <c r="C194" s="20" t="s">
        <v>527</v>
      </c>
      <c r="D194" s="22">
        <v>4500</v>
      </c>
      <c r="E194" s="22"/>
      <c r="F194" s="20" t="s">
        <v>492</v>
      </c>
      <c r="G194" s="22">
        <v>2219080</v>
      </c>
      <c r="H194" s="23" t="str" cm="1">
        <f t="array" ref="H194">IFERROR(INDEX(단어표[분류],MIN(IF(ISNUMBER(FIND(단어표[포함단어],표3[[#This Row],[내용]])),ROW(단어표[포함단어])-ROW(포함단어시작셀)+1,ROWS(단어표[포함단어])+1))),"")</f>
        <v>기타식료품</v>
      </c>
      <c r="I194" s="23" t="str">
        <f>VLOOKUP(H194,분류표[],2,0)</f>
        <v>식비</v>
      </c>
      <c r="J194" s="24">
        <f t="shared" si="4"/>
        <v>44617</v>
      </c>
      <c r="K194" s="23">
        <f t="shared" si="5"/>
        <v>21</v>
      </c>
    </row>
    <row r="195" spans="1:11">
      <c r="A195" s="21">
        <v>44617</v>
      </c>
      <c r="B195" s="20" t="s">
        <v>260</v>
      </c>
      <c r="C195" s="20" t="s">
        <v>460</v>
      </c>
      <c r="D195" s="22">
        <v>739300</v>
      </c>
      <c r="E195" s="22"/>
      <c r="F195" s="20" t="s">
        <v>526</v>
      </c>
      <c r="G195" s="22">
        <v>1479780</v>
      </c>
      <c r="H195" s="23" t="str" cm="1">
        <f t="array" ref="H195">IFERROR(INDEX(단어표[분류],MIN(IF(ISNUMBER(FIND(단어표[포함단어],표3[[#This Row],[내용]])),ROW(단어표[포함단어])-ROW(포함단어시작셀)+1,ROWS(단어표[포함단어])+1))),"")</f>
        <v>월세</v>
      </c>
      <c r="I195" s="23" t="str">
        <f>VLOOKUP(H195,분류표[],2,0)</f>
        <v>주거/공과금</v>
      </c>
      <c r="J195" s="24">
        <f t="shared" si="4"/>
        <v>44617</v>
      </c>
      <c r="K195" s="23">
        <f t="shared" si="5"/>
        <v>23</v>
      </c>
    </row>
    <row r="196" spans="1:11">
      <c r="A196" s="21">
        <v>44617</v>
      </c>
      <c r="B196" s="20" t="s">
        <v>259</v>
      </c>
      <c r="C196" s="20" t="s">
        <v>460</v>
      </c>
      <c r="D196" s="22">
        <v>127600</v>
      </c>
      <c r="E196" s="22"/>
      <c r="F196" s="20" t="s">
        <v>525</v>
      </c>
      <c r="G196" s="22">
        <v>1352180</v>
      </c>
      <c r="H196" s="23" t="str" cm="1">
        <f t="array" ref="H196">IFERROR(INDEX(단어표[분류],MIN(IF(ISNUMBER(FIND(단어표[포함단어],표3[[#This Row],[내용]])),ROW(단어표[포함단어])-ROW(포함단어시작셀)+1,ROWS(단어표[포함단어])+1))),"")</f>
        <v>월세</v>
      </c>
      <c r="I196" s="23" t="str">
        <f>VLOOKUP(H196,분류표[],2,0)</f>
        <v>주거/공과금</v>
      </c>
      <c r="J196" s="24">
        <f t="shared" si="4"/>
        <v>44617</v>
      </c>
      <c r="K196" s="23">
        <f t="shared" si="5"/>
        <v>23</v>
      </c>
    </row>
    <row r="197" spans="1:11">
      <c r="A197" s="21">
        <v>44618</v>
      </c>
      <c r="B197" s="20" t="s">
        <v>258</v>
      </c>
      <c r="C197" s="20" t="s">
        <v>460</v>
      </c>
      <c r="D197" s="22">
        <v>17700</v>
      </c>
      <c r="E197" s="22"/>
      <c r="F197" s="20" t="s">
        <v>524</v>
      </c>
      <c r="G197" s="22">
        <v>1334480</v>
      </c>
      <c r="H197" s="23" t="str" cm="1">
        <f t="array" ref="H197">IFERROR(INDEX(단어표[분류],MIN(IF(ISNUMBER(FIND(단어표[포함단어],표3[[#This Row],[내용]])),ROW(단어표[포함단어])-ROW(포함단어시작셀)+1,ROWS(단어표[포함단어])+1))),"")</f>
        <v>월세</v>
      </c>
      <c r="I197" s="23" t="str">
        <f>VLOOKUP(H197,분류표[],2,0)</f>
        <v>주거/공과금</v>
      </c>
      <c r="J197" s="24">
        <f t="shared" si="4"/>
        <v>44618</v>
      </c>
      <c r="K197" s="23">
        <f t="shared" si="5"/>
        <v>1</v>
      </c>
    </row>
    <row r="198" spans="1:11">
      <c r="A198" s="21">
        <v>44618</v>
      </c>
      <c r="B198" s="20" t="s">
        <v>257</v>
      </c>
      <c r="C198" s="20" t="s">
        <v>527</v>
      </c>
      <c r="D198" s="22">
        <v>4200</v>
      </c>
      <c r="E198" s="22"/>
      <c r="F198" s="20" t="s">
        <v>493</v>
      </c>
      <c r="G198" s="22">
        <v>1330280</v>
      </c>
      <c r="H198" s="23" t="str" cm="1">
        <f t="array" ref="H198">IFERROR(INDEX(단어표[분류],MIN(IF(ISNUMBER(FIND(단어표[포함단어],표3[[#This Row],[내용]])),ROW(단어표[포함단어])-ROW(포함단어시작셀)+1,ROWS(단어표[포함단어])+1))),"")</f>
        <v>커피</v>
      </c>
      <c r="I198" s="23" t="str">
        <f>VLOOKUP(H198,분류표[],2,0)</f>
        <v>식비</v>
      </c>
      <c r="J198" s="24">
        <f t="shared" si="4"/>
        <v>44618</v>
      </c>
      <c r="K198" s="23">
        <f t="shared" si="5"/>
        <v>17</v>
      </c>
    </row>
    <row r="199" spans="1:11">
      <c r="A199" s="21">
        <v>44618</v>
      </c>
      <c r="B199" s="20" t="s">
        <v>256</v>
      </c>
      <c r="C199" s="20" t="s">
        <v>527</v>
      </c>
      <c r="D199" s="22">
        <v>3800</v>
      </c>
      <c r="E199" s="22"/>
      <c r="F199" s="20" t="s">
        <v>456</v>
      </c>
      <c r="G199" s="22">
        <v>1326480</v>
      </c>
      <c r="H199" s="23" t="str" cm="1">
        <f t="array" ref="H199">IFERROR(INDEX(단어표[분류],MIN(IF(ISNUMBER(FIND(단어표[포함단어],표3[[#This Row],[내용]])),ROW(단어표[포함단어])-ROW(포함단어시작셀)+1,ROWS(단어표[포함단어])+1))),"")</f>
        <v>간식</v>
      </c>
      <c r="I199" s="23" t="str">
        <f>VLOOKUP(H199,분류표[],2,0)</f>
        <v>식비</v>
      </c>
      <c r="J199" s="24">
        <f t="shared" si="4"/>
        <v>44618</v>
      </c>
      <c r="K199" s="23">
        <f t="shared" si="5"/>
        <v>19</v>
      </c>
    </row>
    <row r="200" spans="1:11">
      <c r="A200" s="21">
        <v>44620</v>
      </c>
      <c r="B200" s="20" t="s">
        <v>255</v>
      </c>
      <c r="C200" s="20" t="s">
        <v>462</v>
      </c>
      <c r="D200" s="22">
        <v>16700</v>
      </c>
      <c r="E200" s="22"/>
      <c r="F200" s="20" t="s">
        <v>490</v>
      </c>
      <c r="G200" s="22">
        <v>1309780</v>
      </c>
      <c r="H200" s="23" t="str" cm="1">
        <f t="array" ref="H200">IFERROR(INDEX(단어표[분류],MIN(IF(ISNUMBER(FIND(단어표[포함단어],표3[[#This Row],[내용]])),ROW(단어표[포함단어])-ROW(포함단어시작셀)+1,ROWS(단어표[포함단어])+1))),"")</f>
        <v>건강보험</v>
      </c>
      <c r="I200" s="23" t="str">
        <f>VLOOKUP(H200,분류표[],2,0)</f>
        <v>보험비</v>
      </c>
      <c r="J200" s="24">
        <f t="shared" si="4"/>
        <v>44620</v>
      </c>
      <c r="K200" s="23">
        <f t="shared" si="5"/>
        <v>7</v>
      </c>
    </row>
    <row r="201" spans="1:11">
      <c r="A201" s="21">
        <v>44620</v>
      </c>
      <c r="B201" s="20" t="s">
        <v>254</v>
      </c>
      <c r="C201" s="20" t="s">
        <v>19</v>
      </c>
      <c r="D201" s="22">
        <v>1900</v>
      </c>
      <c r="E201" s="22"/>
      <c r="F201" s="20" t="s">
        <v>517</v>
      </c>
      <c r="G201" s="22">
        <v>1307880</v>
      </c>
      <c r="H201" s="23" t="str" cm="1">
        <f t="array" ref="H201">IFERROR(INDEX(단어표[분류],MIN(IF(ISNUMBER(FIND(단어표[포함단어],표3[[#This Row],[내용]])),ROW(단어표[포함단어])-ROW(포함단어시작셀)+1,ROWS(단어표[포함단어])+1))),"")</f>
        <v>휴대폰</v>
      </c>
      <c r="I201" s="23" t="str">
        <f>VLOOKUP(H201,분류표[],2,0)</f>
        <v>통신비</v>
      </c>
      <c r="J201" s="24">
        <f t="shared" ref="J201:J264" si="6">A201</f>
        <v>44620</v>
      </c>
      <c r="K201" s="23">
        <f t="shared" ref="K201:K264" si="7">HOUR(B201)</f>
        <v>7</v>
      </c>
    </row>
    <row r="202" spans="1:11">
      <c r="A202" s="21">
        <v>44620</v>
      </c>
      <c r="B202" s="20" t="s">
        <v>253</v>
      </c>
      <c r="C202" s="20" t="s">
        <v>527</v>
      </c>
      <c r="D202" s="22">
        <v>2800</v>
      </c>
      <c r="E202" s="22"/>
      <c r="F202" s="20" t="s">
        <v>492</v>
      </c>
      <c r="G202" s="22">
        <v>1305080</v>
      </c>
      <c r="H202" s="23" t="str" cm="1">
        <f t="array" ref="H202">IFERROR(INDEX(단어표[분류],MIN(IF(ISNUMBER(FIND(단어표[포함단어],표3[[#This Row],[내용]])),ROW(단어표[포함단어])-ROW(포함단어시작셀)+1,ROWS(단어표[포함단어])+1))),"")</f>
        <v>기타식료품</v>
      </c>
      <c r="I202" s="23" t="str">
        <f>VLOOKUP(H202,분류표[],2,0)</f>
        <v>식비</v>
      </c>
      <c r="J202" s="24">
        <f t="shared" si="6"/>
        <v>44620</v>
      </c>
      <c r="K202" s="23">
        <f t="shared" si="7"/>
        <v>22</v>
      </c>
    </row>
    <row r="203" spans="1:11">
      <c r="A203" s="21">
        <v>44621</v>
      </c>
      <c r="B203" s="20" t="s">
        <v>252</v>
      </c>
      <c r="C203" s="20" t="s">
        <v>527</v>
      </c>
      <c r="D203" s="22">
        <v>43500</v>
      </c>
      <c r="E203" s="22"/>
      <c r="F203" s="20" t="s">
        <v>13</v>
      </c>
      <c r="G203" s="22">
        <v>1261580</v>
      </c>
      <c r="H203" s="23" t="str" cm="1">
        <f t="array" ref="H203">IFERROR(INDEX(단어표[분류],MIN(IF(ISNUMBER(FIND(단어표[포함단어],표3[[#This Row],[내용]])),ROW(단어표[포함단어])-ROW(포함단어시작셀)+1,ROWS(단어표[포함단어])+1))),"")</f>
        <v>생활용품</v>
      </c>
      <c r="I203" s="23" t="str">
        <f>VLOOKUP(H203,분류표[],2,0)</f>
        <v>생활비</v>
      </c>
      <c r="J203" s="24">
        <f t="shared" si="6"/>
        <v>44621</v>
      </c>
      <c r="K203" s="23">
        <f t="shared" si="7"/>
        <v>10</v>
      </c>
    </row>
    <row r="204" spans="1:11">
      <c r="A204" s="21">
        <v>44621</v>
      </c>
      <c r="B204" s="20" t="s">
        <v>251</v>
      </c>
      <c r="C204" s="20" t="s">
        <v>527</v>
      </c>
      <c r="D204" s="22">
        <v>221800</v>
      </c>
      <c r="E204" s="22"/>
      <c r="F204" s="20" t="s">
        <v>88</v>
      </c>
      <c r="G204" s="22">
        <v>1039780</v>
      </c>
      <c r="H204" s="23" t="str" cm="1">
        <f t="array" ref="H204">IFERROR(INDEX(단어표[분류],MIN(IF(ISNUMBER(FIND(단어표[포함단어],표3[[#This Row],[내용]])),ROW(단어표[포함단어])-ROW(포함단어시작셀)+1,ROWS(단어표[포함단어])+1))),"")</f>
        <v>의류구매</v>
      </c>
      <c r="I204" s="23" t="str">
        <f>VLOOKUP(H204,분류표[],2,0)</f>
        <v>생활비</v>
      </c>
      <c r="J204" s="24">
        <f t="shared" si="6"/>
        <v>44621</v>
      </c>
      <c r="K204" s="23">
        <f t="shared" si="7"/>
        <v>13</v>
      </c>
    </row>
    <row r="205" spans="1:11">
      <c r="A205" s="21">
        <v>44621</v>
      </c>
      <c r="B205" s="20" t="s">
        <v>250</v>
      </c>
      <c r="C205" s="20" t="s">
        <v>527</v>
      </c>
      <c r="D205" s="22">
        <v>26100</v>
      </c>
      <c r="E205" s="22"/>
      <c r="F205" s="20" t="s">
        <v>514</v>
      </c>
      <c r="G205" s="22">
        <v>1013680</v>
      </c>
      <c r="H205" s="23" t="str" cm="1">
        <f t="array" ref="H205">IFERROR(INDEX(단어표[분류],MIN(IF(ISNUMBER(FIND(단어표[포함단어],표3[[#This Row],[내용]])),ROW(단어표[포함단어])-ROW(포함단어시작셀)+1,ROWS(단어표[포함단어])+1))),"")</f>
        <v>커피</v>
      </c>
      <c r="I205" s="23" t="str">
        <f>VLOOKUP(H205,분류표[],2,0)</f>
        <v>식비</v>
      </c>
      <c r="J205" s="24">
        <f t="shared" si="6"/>
        <v>44621</v>
      </c>
      <c r="K205" s="23">
        <f t="shared" si="7"/>
        <v>13</v>
      </c>
    </row>
    <row r="206" spans="1:11">
      <c r="A206" s="21">
        <v>44621</v>
      </c>
      <c r="B206" s="20" t="s">
        <v>249</v>
      </c>
      <c r="C206" s="20" t="s">
        <v>527</v>
      </c>
      <c r="D206" s="22">
        <v>5400</v>
      </c>
      <c r="E206" s="22"/>
      <c r="F206" s="20" t="s">
        <v>493</v>
      </c>
      <c r="G206" s="22">
        <v>1008280</v>
      </c>
      <c r="H206" s="23" t="str" cm="1">
        <f t="array" ref="H206">IFERROR(INDEX(단어표[분류],MIN(IF(ISNUMBER(FIND(단어표[포함단어],표3[[#This Row],[내용]])),ROW(단어표[포함단어])-ROW(포함단어시작셀)+1,ROWS(단어표[포함단어])+1))),"")</f>
        <v>커피</v>
      </c>
      <c r="I206" s="23" t="str">
        <f>VLOOKUP(H206,분류표[],2,0)</f>
        <v>식비</v>
      </c>
      <c r="J206" s="24">
        <f t="shared" si="6"/>
        <v>44621</v>
      </c>
      <c r="K206" s="23">
        <f t="shared" si="7"/>
        <v>19</v>
      </c>
    </row>
    <row r="207" spans="1:11">
      <c r="A207" s="21">
        <v>44621</v>
      </c>
      <c r="B207" s="20" t="s">
        <v>248</v>
      </c>
      <c r="C207" s="20" t="s">
        <v>527</v>
      </c>
      <c r="D207" s="22">
        <v>6800</v>
      </c>
      <c r="E207" s="22"/>
      <c r="F207" s="20" t="s">
        <v>448</v>
      </c>
      <c r="G207" s="22">
        <v>1001480</v>
      </c>
      <c r="H207" s="23" t="str" cm="1">
        <f t="array" ref="H207">IFERROR(INDEX(단어표[분류],MIN(IF(ISNUMBER(FIND(단어표[포함단어],표3[[#This Row],[내용]])),ROW(단어표[포함단어])-ROW(포함단어시작셀)+1,ROWS(단어표[포함단어])+1))),"")</f>
        <v>주식</v>
      </c>
      <c r="I207" s="23" t="str">
        <f>VLOOKUP(H207,분류표[],2,0)</f>
        <v>식비</v>
      </c>
      <c r="J207" s="24">
        <f t="shared" si="6"/>
        <v>44621</v>
      </c>
      <c r="K207" s="23">
        <f t="shared" si="7"/>
        <v>20</v>
      </c>
    </row>
    <row r="208" spans="1:11">
      <c r="A208" s="21">
        <v>44622</v>
      </c>
      <c r="B208" s="20" t="s">
        <v>247</v>
      </c>
      <c r="C208" s="20" t="s">
        <v>527</v>
      </c>
      <c r="D208" s="22">
        <v>10300</v>
      </c>
      <c r="E208" s="22"/>
      <c r="F208" s="20" t="s">
        <v>471</v>
      </c>
      <c r="G208" s="22">
        <v>991180</v>
      </c>
      <c r="H208" s="23" t="str" cm="1">
        <f t="array" ref="H208">IFERROR(INDEX(단어표[분류],MIN(IF(ISNUMBER(FIND(단어표[포함단어],표3[[#This Row],[내용]])),ROW(단어표[포함단어])-ROW(포함단어시작셀)+1,ROWS(단어표[포함단어])+1))),"")</f>
        <v>주식</v>
      </c>
      <c r="I208" s="23" t="str">
        <f>VLOOKUP(H208,분류표[],2,0)</f>
        <v>식비</v>
      </c>
      <c r="J208" s="24">
        <f t="shared" si="6"/>
        <v>44622</v>
      </c>
      <c r="K208" s="23">
        <f t="shared" si="7"/>
        <v>15</v>
      </c>
    </row>
    <row r="209" spans="1:11">
      <c r="A209" s="21">
        <v>44622</v>
      </c>
      <c r="B209" s="20" t="s">
        <v>246</v>
      </c>
      <c r="C209" s="20" t="s">
        <v>527</v>
      </c>
      <c r="D209" s="22">
        <v>13900</v>
      </c>
      <c r="E209" s="22"/>
      <c r="F209" s="20" t="s">
        <v>492</v>
      </c>
      <c r="G209" s="22">
        <v>977280</v>
      </c>
      <c r="H209" s="23" t="str" cm="1">
        <f t="array" ref="H209">IFERROR(INDEX(단어표[분류],MIN(IF(ISNUMBER(FIND(단어표[포함단어],표3[[#This Row],[내용]])),ROW(단어표[포함단어])-ROW(포함단어시작셀)+1,ROWS(단어표[포함단어])+1))),"")</f>
        <v>기타식료품</v>
      </c>
      <c r="I209" s="23" t="str">
        <f>VLOOKUP(H209,분류표[],2,0)</f>
        <v>식비</v>
      </c>
      <c r="J209" s="24">
        <f t="shared" si="6"/>
        <v>44622</v>
      </c>
      <c r="K209" s="23">
        <f t="shared" si="7"/>
        <v>15</v>
      </c>
    </row>
    <row r="210" spans="1:11">
      <c r="A210" s="21">
        <v>44622</v>
      </c>
      <c r="B210" s="20" t="s">
        <v>245</v>
      </c>
      <c r="C210" s="20" t="s">
        <v>527</v>
      </c>
      <c r="D210" s="22">
        <v>4500</v>
      </c>
      <c r="E210" s="22"/>
      <c r="F210" s="20" t="s">
        <v>492</v>
      </c>
      <c r="G210" s="22">
        <v>972780</v>
      </c>
      <c r="H210" s="23" t="str" cm="1">
        <f t="array" ref="H210">IFERROR(INDEX(단어표[분류],MIN(IF(ISNUMBER(FIND(단어표[포함단어],표3[[#This Row],[내용]])),ROW(단어표[포함단어])-ROW(포함단어시작셀)+1,ROWS(단어표[포함단어])+1))),"")</f>
        <v>기타식료품</v>
      </c>
      <c r="I210" s="23" t="str">
        <f>VLOOKUP(H210,분류표[],2,0)</f>
        <v>식비</v>
      </c>
      <c r="J210" s="24">
        <f t="shared" si="6"/>
        <v>44622</v>
      </c>
      <c r="K210" s="23">
        <f t="shared" si="7"/>
        <v>22</v>
      </c>
    </row>
    <row r="211" spans="1:11">
      <c r="A211" s="21">
        <v>44623</v>
      </c>
      <c r="B211" s="20" t="s">
        <v>89</v>
      </c>
      <c r="C211" s="20" t="s">
        <v>527</v>
      </c>
      <c r="D211" s="22">
        <v>5600</v>
      </c>
      <c r="E211" s="22"/>
      <c r="F211" s="20" t="s">
        <v>31</v>
      </c>
      <c r="G211" s="22">
        <v>967180</v>
      </c>
      <c r="H211" s="23" t="str" cm="1">
        <f t="array" ref="H211">IFERROR(INDEX(단어표[분류],MIN(IF(ISNUMBER(FIND(단어표[포함단어],표3[[#This Row],[내용]])),ROW(단어표[포함단어])-ROW(포함단어시작셀)+1,ROWS(단어표[포함단어])+1))),"")</f>
        <v>구독서비스</v>
      </c>
      <c r="I211" s="23" t="str">
        <f>VLOOKUP(H211,분류표[],2,0)</f>
        <v>생활비</v>
      </c>
      <c r="J211" s="24">
        <f t="shared" si="6"/>
        <v>44623</v>
      </c>
      <c r="K211" s="23">
        <f t="shared" si="7"/>
        <v>14</v>
      </c>
    </row>
    <row r="212" spans="1:11">
      <c r="A212" s="21">
        <v>44624</v>
      </c>
      <c r="B212" s="20" t="s">
        <v>437</v>
      </c>
      <c r="C212" s="20" t="s">
        <v>642</v>
      </c>
      <c r="D212" s="22"/>
      <c r="E212" s="22">
        <v>217920</v>
      </c>
      <c r="F212" s="20" t="s">
        <v>643</v>
      </c>
      <c r="G212" s="22">
        <v>1185100</v>
      </c>
      <c r="H212" s="23" t="str" cm="1">
        <f t="array" ref="H212">IFERROR(INDEX(단어표[분류],MIN(IF(ISNUMBER(FIND(단어표[포함단어],표3[[#This Row],[내용]])),ROW(단어표[포함단어])-ROW(포함단어시작셀)+1,ROWS(단어표[포함단어])+1))),"")</f>
        <v>금융이익</v>
      </c>
      <c r="I212" s="23" t="str">
        <f>VLOOKUP(H212,분류표[],2,0)</f>
        <v>수입</v>
      </c>
      <c r="J212" s="24">
        <f t="shared" si="6"/>
        <v>44624</v>
      </c>
      <c r="K212" s="23">
        <f t="shared" si="7"/>
        <v>0</v>
      </c>
    </row>
    <row r="213" spans="1:11">
      <c r="A213" s="21">
        <v>44624</v>
      </c>
      <c r="B213" s="20" t="s">
        <v>244</v>
      </c>
      <c r="C213" s="20" t="s">
        <v>527</v>
      </c>
      <c r="D213" s="22">
        <v>18500</v>
      </c>
      <c r="E213" s="22"/>
      <c r="F213" s="20" t="s">
        <v>522</v>
      </c>
      <c r="G213" s="22">
        <v>1166600</v>
      </c>
      <c r="H213" s="23" t="str" cm="1">
        <f t="array" ref="H213">IFERROR(INDEX(단어표[분류],MIN(IF(ISNUMBER(FIND(단어표[포함단어],표3[[#This Row],[내용]])),ROW(단어표[포함단어])-ROW(포함단어시작셀)+1,ROWS(단어표[포함단어])+1))),"")</f>
        <v>스포츠</v>
      </c>
      <c r="I213" s="23" t="str">
        <f>VLOOKUP(H213,분류표[],2,0)</f>
        <v>문화생활비</v>
      </c>
      <c r="J213" s="24">
        <f t="shared" si="6"/>
        <v>44624</v>
      </c>
      <c r="K213" s="23">
        <f t="shared" si="7"/>
        <v>1</v>
      </c>
    </row>
    <row r="214" spans="1:11">
      <c r="A214" s="21">
        <v>44624</v>
      </c>
      <c r="B214" s="20" t="s">
        <v>243</v>
      </c>
      <c r="C214" s="20" t="s">
        <v>527</v>
      </c>
      <c r="D214" s="22">
        <v>135800</v>
      </c>
      <c r="E214" s="22"/>
      <c r="F214" s="20" t="s">
        <v>486</v>
      </c>
      <c r="G214" s="22">
        <v>1030800</v>
      </c>
      <c r="H214" s="23" t="str" cm="1">
        <f t="array" ref="H214">IFERROR(INDEX(단어표[분류],MIN(IF(ISNUMBER(FIND(단어표[포함단어],표3[[#This Row],[내용]])),ROW(단어표[포함단어])-ROW(포함단어시작셀)+1,ROWS(단어표[포함단어])+1))),"")</f>
        <v>업무관련</v>
      </c>
      <c r="I214" s="23" t="str">
        <f>VLOOKUP(H214,분류표[],2,0)</f>
        <v>사업운영비</v>
      </c>
      <c r="J214" s="24">
        <f t="shared" si="6"/>
        <v>44624</v>
      </c>
      <c r="K214" s="23">
        <f t="shared" si="7"/>
        <v>11</v>
      </c>
    </row>
    <row r="215" spans="1:11">
      <c r="A215" s="21">
        <v>44624</v>
      </c>
      <c r="B215" s="20" t="s">
        <v>242</v>
      </c>
      <c r="C215" s="20" t="s">
        <v>527</v>
      </c>
      <c r="D215" s="22">
        <v>4100</v>
      </c>
      <c r="E215" s="22"/>
      <c r="F215" s="20" t="s">
        <v>496</v>
      </c>
      <c r="G215" s="22">
        <v>1026700</v>
      </c>
      <c r="H215" s="23" t="str" cm="1">
        <f t="array" ref="H215">IFERROR(INDEX(단어표[분류],MIN(IF(ISNUMBER(FIND(단어표[포함단어],표3[[#This Row],[내용]])),ROW(단어표[포함단어])-ROW(포함단어시작셀)+1,ROWS(단어표[포함단어])+1))),"")</f>
        <v>기타생활비</v>
      </c>
      <c r="I215" s="23" t="str">
        <f>VLOOKUP(H215,분류표[],2,0)</f>
        <v>생활비</v>
      </c>
      <c r="J215" s="24">
        <f t="shared" si="6"/>
        <v>44624</v>
      </c>
      <c r="K215" s="23">
        <f t="shared" si="7"/>
        <v>12</v>
      </c>
    </row>
    <row r="216" spans="1:11">
      <c r="A216" s="21">
        <v>44624</v>
      </c>
      <c r="B216" s="20" t="s">
        <v>241</v>
      </c>
      <c r="C216" s="20" t="s">
        <v>527</v>
      </c>
      <c r="D216" s="22">
        <v>13700</v>
      </c>
      <c r="E216" s="22"/>
      <c r="F216" s="20" t="s">
        <v>458</v>
      </c>
      <c r="G216" s="22">
        <v>1013000</v>
      </c>
      <c r="H216" s="23" t="str" cm="1">
        <f t="array" ref="H216">IFERROR(INDEX(단어표[분류],MIN(IF(ISNUMBER(FIND(단어표[포함단어],표3[[#This Row],[내용]])),ROW(단어표[포함단어])-ROW(포함단어시작셀)+1,ROWS(단어표[포함단어])+1))),"")</f>
        <v>교통비</v>
      </c>
      <c r="I216" s="23" t="str">
        <f>VLOOKUP(H216,분류표[],2,0)</f>
        <v>교통비</v>
      </c>
      <c r="J216" s="24">
        <f t="shared" si="6"/>
        <v>44624</v>
      </c>
      <c r="K216" s="23">
        <f t="shared" si="7"/>
        <v>18</v>
      </c>
    </row>
    <row r="217" spans="1:11">
      <c r="A217" s="21">
        <v>44625</v>
      </c>
      <c r="B217" s="20" t="s">
        <v>240</v>
      </c>
      <c r="C217" s="20" t="s">
        <v>527</v>
      </c>
      <c r="D217" s="22">
        <v>4400</v>
      </c>
      <c r="E217" s="22"/>
      <c r="F217" s="20" t="s">
        <v>493</v>
      </c>
      <c r="G217" s="22">
        <v>1008600</v>
      </c>
      <c r="H217" s="23" t="str" cm="1">
        <f t="array" ref="H217">IFERROR(INDEX(단어표[분류],MIN(IF(ISNUMBER(FIND(단어표[포함단어],표3[[#This Row],[내용]])),ROW(단어표[포함단어])-ROW(포함단어시작셀)+1,ROWS(단어표[포함단어])+1))),"")</f>
        <v>커피</v>
      </c>
      <c r="I217" s="23" t="str">
        <f>VLOOKUP(H217,분류표[],2,0)</f>
        <v>식비</v>
      </c>
      <c r="J217" s="24">
        <f t="shared" si="6"/>
        <v>44625</v>
      </c>
      <c r="K217" s="23">
        <f t="shared" si="7"/>
        <v>17</v>
      </c>
    </row>
    <row r="218" spans="1:11">
      <c r="A218" s="21">
        <v>44626</v>
      </c>
      <c r="B218" s="20" t="s">
        <v>239</v>
      </c>
      <c r="C218" s="20" t="s">
        <v>527</v>
      </c>
      <c r="D218" s="22">
        <v>6000</v>
      </c>
      <c r="E218" s="22"/>
      <c r="F218" s="20" t="s">
        <v>515</v>
      </c>
      <c r="G218" s="22">
        <v>1002600</v>
      </c>
      <c r="H218" s="23" t="str" cm="1">
        <f t="array" ref="H218">IFERROR(INDEX(단어표[분류],MIN(IF(ISNUMBER(FIND(단어표[포함단어],표3[[#This Row],[내용]])),ROW(단어표[포함단어])-ROW(포함단어시작셀)+1,ROWS(단어표[포함단어])+1))),"")</f>
        <v>커피</v>
      </c>
      <c r="I218" s="23" t="str">
        <f>VLOOKUP(H218,분류표[],2,0)</f>
        <v>식비</v>
      </c>
      <c r="J218" s="24">
        <f t="shared" si="6"/>
        <v>44626</v>
      </c>
      <c r="K218" s="23">
        <f t="shared" si="7"/>
        <v>14</v>
      </c>
    </row>
    <row r="219" spans="1:11">
      <c r="A219" s="21">
        <v>44626</v>
      </c>
      <c r="B219" s="20" t="s">
        <v>238</v>
      </c>
      <c r="C219" s="20" t="s">
        <v>527</v>
      </c>
      <c r="D219" s="22">
        <v>12500</v>
      </c>
      <c r="E219" s="22"/>
      <c r="F219" s="20" t="s">
        <v>492</v>
      </c>
      <c r="G219" s="22">
        <v>990100</v>
      </c>
      <c r="H219" s="23" t="str" cm="1">
        <f t="array" ref="H219">IFERROR(INDEX(단어표[분류],MIN(IF(ISNUMBER(FIND(단어표[포함단어],표3[[#This Row],[내용]])),ROW(단어표[포함단어])-ROW(포함단어시작셀)+1,ROWS(단어표[포함단어])+1))),"")</f>
        <v>기타식료품</v>
      </c>
      <c r="I219" s="23" t="str">
        <f>VLOOKUP(H219,분류표[],2,0)</f>
        <v>식비</v>
      </c>
      <c r="J219" s="24">
        <f t="shared" si="6"/>
        <v>44626</v>
      </c>
      <c r="K219" s="23">
        <f t="shared" si="7"/>
        <v>22</v>
      </c>
    </row>
    <row r="220" spans="1:11">
      <c r="A220" s="21">
        <v>44627</v>
      </c>
      <c r="B220" s="20" t="s">
        <v>81</v>
      </c>
      <c r="C220" s="20" t="s">
        <v>527</v>
      </c>
      <c r="D220" s="22">
        <v>4500</v>
      </c>
      <c r="E220" s="22"/>
      <c r="F220" s="20" t="s">
        <v>492</v>
      </c>
      <c r="G220" s="22">
        <v>985600</v>
      </c>
      <c r="H220" s="23" t="str" cm="1">
        <f t="array" ref="H220">IFERROR(INDEX(단어표[분류],MIN(IF(ISNUMBER(FIND(단어표[포함단어],표3[[#This Row],[내용]])),ROW(단어표[포함단어])-ROW(포함단어시작셀)+1,ROWS(단어표[포함단어])+1))),"")</f>
        <v>기타식료품</v>
      </c>
      <c r="I220" s="23" t="str">
        <f>VLOOKUP(H220,분류표[],2,0)</f>
        <v>식비</v>
      </c>
      <c r="J220" s="24">
        <f t="shared" si="6"/>
        <v>44627</v>
      </c>
      <c r="K220" s="23">
        <f t="shared" si="7"/>
        <v>0</v>
      </c>
    </row>
    <row r="221" spans="1:11">
      <c r="A221" s="21">
        <v>44627</v>
      </c>
      <c r="B221" s="20" t="s">
        <v>236</v>
      </c>
      <c r="C221" s="20" t="s">
        <v>642</v>
      </c>
      <c r="D221" s="22"/>
      <c r="E221" s="22">
        <v>5562000</v>
      </c>
      <c r="F221" s="20" t="s">
        <v>648</v>
      </c>
      <c r="G221" s="22">
        <v>6547600</v>
      </c>
      <c r="H221" s="23" t="str" cm="1">
        <f t="array" ref="H221">IFERROR(INDEX(단어표[분류],MIN(IF(ISNUMBER(FIND(단어표[포함단어],표3[[#This Row],[내용]])),ROW(단어표[포함단어])-ROW(포함단어시작셀)+1,ROWS(단어표[포함단어])+1))),"")</f>
        <v>예적금</v>
      </c>
      <c r="I221" s="23" t="str">
        <f>VLOOKUP(H221,분류표[],2,0)</f>
        <v>투자비</v>
      </c>
      <c r="J221" s="24">
        <f t="shared" si="6"/>
        <v>44627</v>
      </c>
      <c r="K221" s="23">
        <f t="shared" si="7"/>
        <v>13</v>
      </c>
    </row>
    <row r="222" spans="1:11">
      <c r="A222" s="21">
        <v>44627</v>
      </c>
      <c r="B222" s="25">
        <v>0.74729166666666658</v>
      </c>
      <c r="C222" s="20" t="s">
        <v>642</v>
      </c>
      <c r="D222" s="22">
        <v>5562000</v>
      </c>
      <c r="E222" s="22"/>
      <c r="F222" s="20" t="s">
        <v>650</v>
      </c>
      <c r="G222" s="22">
        <v>985600</v>
      </c>
      <c r="H222" s="23" t="str" cm="1">
        <f t="array" ref="H222">IFERROR(INDEX(단어표[분류],MIN(IF(ISNUMBER(FIND(단어표[포함단어],표3[[#This Row],[내용]])),ROW(단어표[포함단어])-ROW(포함단어시작셀)+1,ROWS(단어표[포함단어])+1))),"")</f>
        <v>예적금</v>
      </c>
      <c r="I222" s="23" t="str">
        <f>VLOOKUP(H222,분류표[],2,0)</f>
        <v>투자비</v>
      </c>
      <c r="J222" s="24">
        <f t="shared" si="6"/>
        <v>44627</v>
      </c>
      <c r="K222" s="23">
        <f t="shared" si="7"/>
        <v>17</v>
      </c>
    </row>
    <row r="223" spans="1:11">
      <c r="A223" s="21">
        <v>44628</v>
      </c>
      <c r="B223" s="20" t="s">
        <v>237</v>
      </c>
      <c r="C223" s="20" t="s">
        <v>527</v>
      </c>
      <c r="D223" s="22">
        <v>10500</v>
      </c>
      <c r="E223" s="22"/>
      <c r="F223" s="20" t="s">
        <v>31</v>
      </c>
      <c r="G223" s="22">
        <v>975100</v>
      </c>
      <c r="H223" s="23" t="str" cm="1">
        <f t="array" ref="H223">IFERROR(INDEX(단어표[분류],MIN(IF(ISNUMBER(FIND(단어표[포함단어],표3[[#This Row],[내용]])),ROW(단어표[포함단어])-ROW(포함단어시작셀)+1,ROWS(단어표[포함단어])+1))),"")</f>
        <v>구독서비스</v>
      </c>
      <c r="I223" s="23" t="str">
        <f>VLOOKUP(H223,분류표[],2,0)</f>
        <v>생활비</v>
      </c>
      <c r="J223" s="24">
        <f t="shared" si="6"/>
        <v>44628</v>
      </c>
      <c r="K223" s="23">
        <f t="shared" si="7"/>
        <v>8</v>
      </c>
    </row>
    <row r="224" spans="1:11">
      <c r="A224" s="21">
        <v>44628</v>
      </c>
      <c r="B224" s="20" t="s">
        <v>236</v>
      </c>
      <c r="C224" s="20" t="s">
        <v>527</v>
      </c>
      <c r="D224" s="22">
        <v>5500</v>
      </c>
      <c r="E224" s="22"/>
      <c r="F224" s="20" t="s">
        <v>448</v>
      </c>
      <c r="G224" s="22">
        <v>969600</v>
      </c>
      <c r="H224" s="23" t="str" cm="1">
        <f t="array" ref="H224">IFERROR(INDEX(단어표[분류],MIN(IF(ISNUMBER(FIND(단어표[포함단어],표3[[#This Row],[내용]])),ROW(단어표[포함단어])-ROW(포함단어시작셀)+1,ROWS(단어표[포함단어])+1))),"")</f>
        <v>주식</v>
      </c>
      <c r="I224" s="23" t="str">
        <f>VLOOKUP(H224,분류표[],2,0)</f>
        <v>식비</v>
      </c>
      <c r="J224" s="24">
        <f t="shared" si="6"/>
        <v>44628</v>
      </c>
      <c r="K224" s="23">
        <f t="shared" si="7"/>
        <v>13</v>
      </c>
    </row>
    <row r="225" spans="1:11">
      <c r="A225" s="21">
        <v>44628</v>
      </c>
      <c r="B225" s="20" t="s">
        <v>235</v>
      </c>
      <c r="C225" s="20" t="s">
        <v>527</v>
      </c>
      <c r="D225" s="22">
        <v>5000</v>
      </c>
      <c r="E225" s="22"/>
      <c r="F225" s="20" t="s">
        <v>493</v>
      </c>
      <c r="G225" s="22">
        <v>964600</v>
      </c>
      <c r="H225" s="23" t="str" cm="1">
        <f t="array" ref="H225">IFERROR(INDEX(단어표[분류],MIN(IF(ISNUMBER(FIND(단어표[포함단어],표3[[#This Row],[내용]])),ROW(단어표[포함단어])-ROW(포함단어시작셀)+1,ROWS(단어표[포함단어])+1))),"")</f>
        <v>커피</v>
      </c>
      <c r="I225" s="23" t="str">
        <f>VLOOKUP(H225,분류표[],2,0)</f>
        <v>식비</v>
      </c>
      <c r="J225" s="24">
        <f t="shared" si="6"/>
        <v>44628</v>
      </c>
      <c r="K225" s="23">
        <f t="shared" si="7"/>
        <v>14</v>
      </c>
    </row>
    <row r="226" spans="1:11">
      <c r="A226" s="21">
        <v>44628</v>
      </c>
      <c r="B226" s="20" t="s">
        <v>234</v>
      </c>
      <c r="C226" s="20" t="s">
        <v>460</v>
      </c>
      <c r="D226" s="22">
        <v>81400</v>
      </c>
      <c r="E226" s="22"/>
      <c r="F226" s="20" t="s">
        <v>517</v>
      </c>
      <c r="G226" s="22">
        <v>883200</v>
      </c>
      <c r="H226" s="23" t="str" cm="1">
        <f t="array" ref="H226">IFERROR(INDEX(단어표[분류],MIN(IF(ISNUMBER(FIND(단어표[포함단어],표3[[#This Row],[내용]])),ROW(단어표[포함단어])-ROW(포함단어시작셀)+1,ROWS(단어표[포함단어])+1))),"")</f>
        <v>휴대폰</v>
      </c>
      <c r="I226" s="23" t="str">
        <f>VLOOKUP(H226,분류표[],2,0)</f>
        <v>통신비</v>
      </c>
      <c r="J226" s="24">
        <f t="shared" si="6"/>
        <v>44628</v>
      </c>
      <c r="K226" s="23">
        <f t="shared" si="7"/>
        <v>14</v>
      </c>
    </row>
    <row r="227" spans="1:11">
      <c r="A227" s="21">
        <v>44629</v>
      </c>
      <c r="B227" s="20" t="s">
        <v>233</v>
      </c>
      <c r="C227" s="20" t="s">
        <v>527</v>
      </c>
      <c r="D227" s="22">
        <v>2100</v>
      </c>
      <c r="E227" s="22"/>
      <c r="F227" s="20" t="s">
        <v>474</v>
      </c>
      <c r="G227" s="22">
        <v>881100</v>
      </c>
      <c r="H227" s="23" t="str" cm="1">
        <f t="array" ref="H227">IFERROR(INDEX(단어표[분류],MIN(IF(ISNUMBER(FIND(단어표[포함단어],표3[[#This Row],[내용]])),ROW(단어표[포함단어])-ROW(포함단어시작셀)+1,ROWS(단어표[포함단어])+1))),"")</f>
        <v>생활용품</v>
      </c>
      <c r="I227" s="23" t="str">
        <f>VLOOKUP(H227,분류표[],2,0)</f>
        <v>생활비</v>
      </c>
      <c r="J227" s="24">
        <f t="shared" si="6"/>
        <v>44629</v>
      </c>
      <c r="K227" s="23">
        <f t="shared" si="7"/>
        <v>0</v>
      </c>
    </row>
    <row r="228" spans="1:11">
      <c r="A228" s="21">
        <v>44630</v>
      </c>
      <c r="B228" s="20" t="s">
        <v>66</v>
      </c>
      <c r="C228" s="20" t="s">
        <v>527</v>
      </c>
      <c r="D228" s="22">
        <v>1900</v>
      </c>
      <c r="E228" s="22"/>
      <c r="F228" s="20" t="s">
        <v>31</v>
      </c>
      <c r="G228" s="22">
        <v>879200</v>
      </c>
      <c r="H228" s="23" t="str" cm="1">
        <f t="array" ref="H228">IFERROR(INDEX(단어표[분류],MIN(IF(ISNUMBER(FIND(단어표[포함단어],표3[[#This Row],[내용]])),ROW(단어표[포함단어])-ROW(포함단어시작셀)+1,ROWS(단어표[포함단어])+1))),"")</f>
        <v>구독서비스</v>
      </c>
      <c r="I228" s="23" t="str">
        <f>VLOOKUP(H228,분류표[],2,0)</f>
        <v>생활비</v>
      </c>
      <c r="J228" s="24">
        <f t="shared" si="6"/>
        <v>44630</v>
      </c>
      <c r="K228" s="23">
        <f t="shared" si="7"/>
        <v>0</v>
      </c>
    </row>
    <row r="229" spans="1:11">
      <c r="A229" s="21">
        <v>44630</v>
      </c>
      <c r="B229" s="20" t="s">
        <v>232</v>
      </c>
      <c r="C229" s="20" t="s">
        <v>527</v>
      </c>
      <c r="D229" s="22">
        <v>2300</v>
      </c>
      <c r="E229" s="22"/>
      <c r="F229" s="20" t="s">
        <v>496</v>
      </c>
      <c r="G229" s="22">
        <v>876900</v>
      </c>
      <c r="H229" s="23" t="str" cm="1">
        <f t="array" ref="H229">IFERROR(INDEX(단어표[분류],MIN(IF(ISNUMBER(FIND(단어표[포함단어],표3[[#This Row],[내용]])),ROW(단어표[포함단어])-ROW(포함단어시작셀)+1,ROWS(단어표[포함단어])+1))),"")</f>
        <v>기타생활비</v>
      </c>
      <c r="I229" s="23" t="str">
        <f>VLOOKUP(H229,분류표[],2,0)</f>
        <v>생활비</v>
      </c>
      <c r="J229" s="24">
        <f t="shared" si="6"/>
        <v>44630</v>
      </c>
      <c r="K229" s="23">
        <f t="shared" si="7"/>
        <v>15</v>
      </c>
    </row>
    <row r="230" spans="1:11">
      <c r="A230" s="21">
        <v>44630</v>
      </c>
      <c r="B230" s="20" t="s">
        <v>231</v>
      </c>
      <c r="C230" s="20" t="s">
        <v>527</v>
      </c>
      <c r="D230" s="22">
        <v>5200</v>
      </c>
      <c r="E230" s="22"/>
      <c r="F230" s="20" t="s">
        <v>493</v>
      </c>
      <c r="G230" s="22">
        <v>871700</v>
      </c>
      <c r="H230" s="23" t="str" cm="1">
        <f t="array" ref="H230">IFERROR(INDEX(단어표[분류],MIN(IF(ISNUMBER(FIND(단어표[포함단어],표3[[#This Row],[내용]])),ROW(단어표[포함단어])-ROW(포함단어시작셀)+1,ROWS(단어표[포함단어])+1))),"")</f>
        <v>커피</v>
      </c>
      <c r="I230" s="23" t="str">
        <f>VLOOKUP(H230,분류표[],2,0)</f>
        <v>식비</v>
      </c>
      <c r="J230" s="24">
        <f t="shared" si="6"/>
        <v>44630</v>
      </c>
      <c r="K230" s="23">
        <f t="shared" si="7"/>
        <v>16</v>
      </c>
    </row>
    <row r="231" spans="1:11">
      <c r="A231" s="21">
        <v>44630</v>
      </c>
      <c r="B231" s="20" t="s">
        <v>230</v>
      </c>
      <c r="C231" s="20" t="s">
        <v>527</v>
      </c>
      <c r="D231" s="22">
        <v>4600</v>
      </c>
      <c r="E231" s="22"/>
      <c r="F231" s="20" t="s">
        <v>456</v>
      </c>
      <c r="G231" s="22">
        <v>867100</v>
      </c>
      <c r="H231" s="23" t="str" cm="1">
        <f t="array" ref="H231">IFERROR(INDEX(단어표[분류],MIN(IF(ISNUMBER(FIND(단어표[포함단어],표3[[#This Row],[내용]])),ROW(단어표[포함단어])-ROW(포함단어시작셀)+1,ROWS(단어표[포함단어])+1))),"")</f>
        <v>간식</v>
      </c>
      <c r="I231" s="23" t="str">
        <f>VLOOKUP(H231,분류표[],2,0)</f>
        <v>식비</v>
      </c>
      <c r="J231" s="24">
        <f t="shared" si="6"/>
        <v>44630</v>
      </c>
      <c r="K231" s="23">
        <f t="shared" si="7"/>
        <v>17</v>
      </c>
    </row>
    <row r="232" spans="1:11">
      <c r="A232" s="21">
        <v>44631</v>
      </c>
      <c r="B232" s="20" t="s">
        <v>229</v>
      </c>
      <c r="C232" s="20" t="s">
        <v>527</v>
      </c>
      <c r="D232" s="22">
        <v>16000</v>
      </c>
      <c r="E232" s="22"/>
      <c r="F232" s="20" t="s">
        <v>513</v>
      </c>
      <c r="G232" s="22">
        <v>851100</v>
      </c>
      <c r="H232" s="23" t="str" cm="1">
        <f t="array" ref="H232">IFERROR(INDEX(단어표[분류],MIN(IF(ISNUMBER(FIND(단어표[포함단어],표3[[#This Row],[내용]])),ROW(단어표[포함단어])-ROW(포함단어시작셀)+1,ROWS(단어표[포함단어])+1))),"")</f>
        <v>주식</v>
      </c>
      <c r="I232" s="23" t="str">
        <f>VLOOKUP(H232,분류표[],2,0)</f>
        <v>식비</v>
      </c>
      <c r="J232" s="24">
        <f t="shared" si="6"/>
        <v>44631</v>
      </c>
      <c r="K232" s="23">
        <f t="shared" si="7"/>
        <v>13</v>
      </c>
    </row>
    <row r="233" spans="1:11">
      <c r="A233" s="21">
        <v>44631</v>
      </c>
      <c r="B233" s="20" t="s">
        <v>228</v>
      </c>
      <c r="C233" s="20" t="s">
        <v>527</v>
      </c>
      <c r="D233" s="22">
        <v>1100</v>
      </c>
      <c r="E233" s="22"/>
      <c r="F233" s="20" t="s">
        <v>476</v>
      </c>
      <c r="G233" s="22">
        <v>850000</v>
      </c>
      <c r="H233" s="23" t="str" cm="1">
        <f t="array" ref="H233">IFERROR(INDEX(단어표[분류],MIN(IF(ISNUMBER(FIND(단어표[포함단어],표3[[#This Row],[내용]])),ROW(단어표[포함단어])-ROW(포함단어시작셀)+1,ROWS(단어표[포함단어])+1))),"")</f>
        <v>생활용품</v>
      </c>
      <c r="I233" s="23" t="str">
        <f>VLOOKUP(H233,분류표[],2,0)</f>
        <v>생활비</v>
      </c>
      <c r="J233" s="24">
        <f t="shared" si="6"/>
        <v>44631</v>
      </c>
      <c r="K233" s="23">
        <f t="shared" si="7"/>
        <v>14</v>
      </c>
    </row>
    <row r="234" spans="1:11">
      <c r="A234" s="21">
        <v>44631</v>
      </c>
      <c r="B234" s="20" t="s">
        <v>227</v>
      </c>
      <c r="C234" s="20" t="s">
        <v>527</v>
      </c>
      <c r="D234" s="22">
        <v>12100</v>
      </c>
      <c r="E234" s="22"/>
      <c r="F234" s="20" t="s">
        <v>450</v>
      </c>
      <c r="G234" s="22">
        <v>837900</v>
      </c>
      <c r="H234" s="23" t="str" cm="1">
        <f t="array" ref="H234">IFERROR(INDEX(단어표[분류],MIN(IF(ISNUMBER(FIND(단어표[포함단어],표3[[#This Row],[내용]])),ROW(단어표[포함단어])-ROW(포함단어시작셀)+1,ROWS(단어표[포함단어])+1))),"")</f>
        <v>기타생활비</v>
      </c>
      <c r="I234" s="23" t="str">
        <f>VLOOKUP(H234,분류표[],2,0)</f>
        <v>생활비</v>
      </c>
      <c r="J234" s="24">
        <f t="shared" si="6"/>
        <v>44631</v>
      </c>
      <c r="K234" s="23">
        <f t="shared" si="7"/>
        <v>17</v>
      </c>
    </row>
    <row r="235" spans="1:11">
      <c r="A235" s="21">
        <v>44631</v>
      </c>
      <c r="B235" s="20" t="s">
        <v>226</v>
      </c>
      <c r="C235" s="20" t="s">
        <v>527</v>
      </c>
      <c r="D235" s="22">
        <v>6500</v>
      </c>
      <c r="E235" s="22"/>
      <c r="F235" s="20" t="s">
        <v>492</v>
      </c>
      <c r="G235" s="22">
        <v>831400</v>
      </c>
      <c r="H235" s="23" t="str" cm="1">
        <f t="array" ref="H235">IFERROR(INDEX(단어표[분류],MIN(IF(ISNUMBER(FIND(단어표[포함단어],표3[[#This Row],[내용]])),ROW(단어표[포함단어])-ROW(포함단어시작셀)+1,ROWS(단어표[포함단어])+1))),"")</f>
        <v>기타식료품</v>
      </c>
      <c r="I235" s="23" t="str">
        <f>VLOOKUP(H235,분류표[],2,0)</f>
        <v>식비</v>
      </c>
      <c r="J235" s="24">
        <f t="shared" si="6"/>
        <v>44631</v>
      </c>
      <c r="K235" s="23">
        <f t="shared" si="7"/>
        <v>18</v>
      </c>
    </row>
    <row r="236" spans="1:11">
      <c r="A236" s="21">
        <v>44631</v>
      </c>
      <c r="B236" s="20" t="s">
        <v>225</v>
      </c>
      <c r="C236" s="20" t="s">
        <v>460</v>
      </c>
      <c r="D236" s="22">
        <v>78000</v>
      </c>
      <c r="E236" s="22"/>
      <c r="F236" s="20" t="s">
        <v>450</v>
      </c>
      <c r="G236" s="22">
        <v>753400</v>
      </c>
      <c r="H236" s="23" t="str" cm="1">
        <f t="array" ref="H236">IFERROR(INDEX(단어표[분류],MIN(IF(ISNUMBER(FIND(단어표[포함단어],표3[[#This Row],[내용]])),ROW(단어표[포함단어])-ROW(포함단어시작셀)+1,ROWS(단어표[포함단어])+1))),"")</f>
        <v>기타생활비</v>
      </c>
      <c r="I236" s="23" t="str">
        <f>VLOOKUP(H236,분류표[],2,0)</f>
        <v>생활비</v>
      </c>
      <c r="J236" s="24">
        <f t="shared" si="6"/>
        <v>44631</v>
      </c>
      <c r="K236" s="23">
        <f t="shared" si="7"/>
        <v>18</v>
      </c>
    </row>
    <row r="237" spans="1:11">
      <c r="A237" s="21">
        <v>44632</v>
      </c>
      <c r="B237" s="20" t="s">
        <v>224</v>
      </c>
      <c r="C237" s="20" t="s">
        <v>527</v>
      </c>
      <c r="D237" s="22">
        <v>33300</v>
      </c>
      <c r="E237" s="22"/>
      <c r="F237" s="20" t="s">
        <v>13</v>
      </c>
      <c r="G237" s="22">
        <v>720100</v>
      </c>
      <c r="H237" s="23" t="str" cm="1">
        <f t="array" ref="H237">IFERROR(INDEX(단어표[분류],MIN(IF(ISNUMBER(FIND(단어표[포함단어],표3[[#This Row],[내용]])),ROW(단어표[포함단어])-ROW(포함단어시작셀)+1,ROWS(단어표[포함단어])+1))),"")</f>
        <v>생활용품</v>
      </c>
      <c r="I237" s="23" t="str">
        <f>VLOOKUP(H237,분류표[],2,0)</f>
        <v>생활비</v>
      </c>
      <c r="J237" s="24">
        <f t="shared" si="6"/>
        <v>44632</v>
      </c>
      <c r="K237" s="23">
        <f t="shared" si="7"/>
        <v>2</v>
      </c>
    </row>
    <row r="238" spans="1:11">
      <c r="A238" s="21">
        <v>44632</v>
      </c>
      <c r="B238" s="20" t="s">
        <v>223</v>
      </c>
      <c r="C238" s="20" t="s">
        <v>529</v>
      </c>
      <c r="D238" s="22">
        <v>16800</v>
      </c>
      <c r="E238" s="22"/>
      <c r="F238" s="20" t="s">
        <v>611</v>
      </c>
      <c r="G238" s="22">
        <v>703300</v>
      </c>
      <c r="H238" s="23" t="str" cm="1">
        <f t="array" ref="H238">IFERROR(INDEX(단어표[분류],MIN(IF(ISNUMBER(FIND(단어표[포함단어],표3[[#This Row],[내용]])),ROW(단어표[포함단어])-ROW(포함단어시작셀)+1,ROWS(단어표[포함단어])+1))),"")</f>
        <v>주식</v>
      </c>
      <c r="I238" s="23" t="str">
        <f>VLOOKUP(H238,분류표[],2,0)</f>
        <v>식비</v>
      </c>
      <c r="J238" s="24">
        <f t="shared" si="6"/>
        <v>44632</v>
      </c>
      <c r="K238" s="23">
        <f t="shared" si="7"/>
        <v>12</v>
      </c>
    </row>
    <row r="239" spans="1:11">
      <c r="A239" s="21">
        <v>44632</v>
      </c>
      <c r="B239" s="20" t="s">
        <v>222</v>
      </c>
      <c r="C239" s="20" t="s">
        <v>527</v>
      </c>
      <c r="D239" s="22">
        <v>5400</v>
      </c>
      <c r="E239" s="22"/>
      <c r="F239" s="20" t="s">
        <v>493</v>
      </c>
      <c r="G239" s="22">
        <v>697900</v>
      </c>
      <c r="H239" s="23" t="str" cm="1">
        <f t="array" ref="H239">IFERROR(INDEX(단어표[분류],MIN(IF(ISNUMBER(FIND(단어표[포함단어],표3[[#This Row],[내용]])),ROW(단어표[포함단어])-ROW(포함단어시작셀)+1,ROWS(단어표[포함단어])+1))),"")</f>
        <v>커피</v>
      </c>
      <c r="I239" s="23" t="str">
        <f>VLOOKUP(H239,분류표[],2,0)</f>
        <v>식비</v>
      </c>
      <c r="J239" s="24">
        <f t="shared" si="6"/>
        <v>44632</v>
      </c>
      <c r="K239" s="23">
        <f t="shared" si="7"/>
        <v>18</v>
      </c>
    </row>
    <row r="240" spans="1:11">
      <c r="A240" s="21">
        <v>44634</v>
      </c>
      <c r="B240" s="20" t="s">
        <v>221</v>
      </c>
      <c r="C240" s="20" t="s">
        <v>527</v>
      </c>
      <c r="D240" s="22">
        <v>3900</v>
      </c>
      <c r="E240" s="22"/>
      <c r="F240" s="20" t="s">
        <v>493</v>
      </c>
      <c r="G240" s="22">
        <v>694000</v>
      </c>
      <c r="H240" s="23" t="str" cm="1">
        <f t="array" ref="H240">IFERROR(INDEX(단어표[분류],MIN(IF(ISNUMBER(FIND(단어표[포함단어],표3[[#This Row],[내용]])),ROW(단어표[포함단어])-ROW(포함단어시작셀)+1,ROWS(단어표[포함단어])+1))),"")</f>
        <v>커피</v>
      </c>
      <c r="I240" s="23" t="str">
        <f>VLOOKUP(H240,분류표[],2,0)</f>
        <v>식비</v>
      </c>
      <c r="J240" s="24">
        <f t="shared" si="6"/>
        <v>44634</v>
      </c>
      <c r="K240" s="23">
        <f t="shared" si="7"/>
        <v>15</v>
      </c>
    </row>
    <row r="241" spans="1:11">
      <c r="A241" s="21">
        <v>44634</v>
      </c>
      <c r="B241" s="20" t="s">
        <v>220</v>
      </c>
      <c r="C241" s="20" t="s">
        <v>527</v>
      </c>
      <c r="D241" s="22">
        <v>169500</v>
      </c>
      <c r="E241" s="22"/>
      <c r="F241" s="20" t="s">
        <v>35</v>
      </c>
      <c r="G241" s="22">
        <v>524500</v>
      </c>
      <c r="H241" s="23" t="str" cm="1">
        <f t="array" ref="H241">IFERROR(INDEX(단어표[분류],MIN(IF(ISNUMBER(FIND(단어표[포함단어],표3[[#This Row],[내용]])),ROW(단어표[포함단어])-ROW(포함단어시작셀)+1,ROWS(단어표[포함단어])+1))),"")</f>
        <v>건강식품</v>
      </c>
      <c r="I241" s="23" t="str">
        <f>VLOOKUP(H241,분류표[],2,0)</f>
        <v>식비</v>
      </c>
      <c r="J241" s="24">
        <f t="shared" si="6"/>
        <v>44634</v>
      </c>
      <c r="K241" s="23">
        <f t="shared" si="7"/>
        <v>15</v>
      </c>
    </row>
    <row r="242" spans="1:11">
      <c r="A242" s="21">
        <v>44635</v>
      </c>
      <c r="B242" s="20" t="s">
        <v>219</v>
      </c>
      <c r="C242" s="20" t="s">
        <v>527</v>
      </c>
      <c r="D242" s="22">
        <v>4700</v>
      </c>
      <c r="E242" s="22"/>
      <c r="F242" s="20" t="s">
        <v>493</v>
      </c>
      <c r="G242" s="22">
        <v>519800</v>
      </c>
      <c r="H242" s="23" t="str" cm="1">
        <f t="array" ref="H242">IFERROR(INDEX(단어표[분류],MIN(IF(ISNUMBER(FIND(단어표[포함단어],표3[[#This Row],[내용]])),ROW(단어표[포함단어])-ROW(포함단어시작셀)+1,ROWS(단어표[포함단어])+1))),"")</f>
        <v>커피</v>
      </c>
      <c r="I242" s="23" t="str">
        <f>VLOOKUP(H242,분류표[],2,0)</f>
        <v>식비</v>
      </c>
      <c r="J242" s="24">
        <f t="shared" si="6"/>
        <v>44635</v>
      </c>
      <c r="K242" s="23">
        <f t="shared" si="7"/>
        <v>15</v>
      </c>
    </row>
    <row r="243" spans="1:11">
      <c r="A243" s="21">
        <v>44635</v>
      </c>
      <c r="B243" s="20" t="s">
        <v>218</v>
      </c>
      <c r="C243" s="20" t="s">
        <v>527</v>
      </c>
      <c r="D243" s="22">
        <v>53900</v>
      </c>
      <c r="E243" s="22"/>
      <c r="F243" s="20" t="s">
        <v>452</v>
      </c>
      <c r="G243" s="22">
        <v>465900</v>
      </c>
      <c r="H243" s="23" t="str" cm="1">
        <f t="array" ref="H243">IFERROR(INDEX(단어표[분류],MIN(IF(ISNUMBER(FIND(단어표[포함단어],표3[[#This Row],[내용]])),ROW(단어표[포함단어])-ROW(포함단어시작셀)+1,ROWS(단어표[포함단어])+1))),"")</f>
        <v>선물</v>
      </c>
      <c r="I243" s="23" t="str">
        <f>VLOOKUP(H243,분류표[],2,0)</f>
        <v>경조사비</v>
      </c>
      <c r="J243" s="24">
        <f t="shared" si="6"/>
        <v>44635</v>
      </c>
      <c r="K243" s="23">
        <f t="shared" si="7"/>
        <v>15</v>
      </c>
    </row>
    <row r="244" spans="1:11">
      <c r="A244" s="21">
        <v>44635</v>
      </c>
      <c r="B244" s="20" t="s">
        <v>217</v>
      </c>
      <c r="C244" s="20" t="s">
        <v>460</v>
      </c>
      <c r="D244" s="22">
        <v>205600</v>
      </c>
      <c r="E244" s="22"/>
      <c r="F244" s="20" t="s">
        <v>470</v>
      </c>
      <c r="G244" s="22">
        <v>260300</v>
      </c>
      <c r="H244" s="23" t="str" cm="1">
        <f t="array" ref="H244">IFERROR(INDEX(단어표[분류],MIN(IF(ISNUMBER(FIND(단어표[포함단어],표3[[#This Row],[내용]])),ROW(단어표[포함단어])-ROW(포함단어시작셀)+1,ROWS(단어표[포함단어])+1))),"")</f>
        <v>사무실비</v>
      </c>
      <c r="I244" s="23" t="str">
        <f>VLOOKUP(H244,분류표[],2,0)</f>
        <v>사업운영비</v>
      </c>
      <c r="J244" s="24">
        <f t="shared" si="6"/>
        <v>44635</v>
      </c>
      <c r="K244" s="23">
        <f t="shared" si="7"/>
        <v>17</v>
      </c>
    </row>
    <row r="245" spans="1:11">
      <c r="A245" s="21">
        <v>44635</v>
      </c>
      <c r="B245" s="20" t="s">
        <v>216</v>
      </c>
      <c r="C245" s="20" t="s">
        <v>527</v>
      </c>
      <c r="D245" s="22">
        <v>1800</v>
      </c>
      <c r="E245" s="22"/>
      <c r="F245" s="20" t="s">
        <v>492</v>
      </c>
      <c r="G245" s="22">
        <v>258500</v>
      </c>
      <c r="H245" s="23" t="str" cm="1">
        <f t="array" ref="H245">IFERROR(INDEX(단어표[분류],MIN(IF(ISNUMBER(FIND(단어표[포함단어],표3[[#This Row],[내용]])),ROW(단어표[포함단어])-ROW(포함단어시작셀)+1,ROWS(단어표[포함단어])+1))),"")</f>
        <v>기타식료품</v>
      </c>
      <c r="I245" s="23" t="str">
        <f>VLOOKUP(H245,분류표[],2,0)</f>
        <v>식비</v>
      </c>
      <c r="J245" s="24">
        <f t="shared" si="6"/>
        <v>44635</v>
      </c>
      <c r="K245" s="23">
        <f t="shared" si="7"/>
        <v>23</v>
      </c>
    </row>
    <row r="246" spans="1:11">
      <c r="A246" s="21">
        <v>44636</v>
      </c>
      <c r="B246" s="20" t="s">
        <v>215</v>
      </c>
      <c r="C246" s="20" t="s">
        <v>527</v>
      </c>
      <c r="D246" s="22">
        <v>14600</v>
      </c>
      <c r="E246" s="22"/>
      <c r="F246" s="20" t="s">
        <v>471</v>
      </c>
      <c r="G246" s="22">
        <v>243900</v>
      </c>
      <c r="H246" s="23" t="str" cm="1">
        <f t="array" ref="H246">IFERROR(INDEX(단어표[분류],MIN(IF(ISNUMBER(FIND(단어표[포함단어],표3[[#This Row],[내용]])),ROW(단어표[포함단어])-ROW(포함단어시작셀)+1,ROWS(단어표[포함단어])+1))),"")</f>
        <v>주식</v>
      </c>
      <c r="I246" s="23" t="str">
        <f>VLOOKUP(H246,분류표[],2,0)</f>
        <v>식비</v>
      </c>
      <c r="J246" s="24">
        <f t="shared" si="6"/>
        <v>44636</v>
      </c>
      <c r="K246" s="23">
        <f t="shared" si="7"/>
        <v>15</v>
      </c>
    </row>
    <row r="247" spans="1:11">
      <c r="A247" s="21">
        <v>44636</v>
      </c>
      <c r="B247" s="20" t="s">
        <v>214</v>
      </c>
      <c r="C247" s="20" t="s">
        <v>527</v>
      </c>
      <c r="D247" s="22">
        <v>4400</v>
      </c>
      <c r="E247" s="22"/>
      <c r="F247" s="20" t="s">
        <v>463</v>
      </c>
      <c r="G247" s="22">
        <v>239500</v>
      </c>
      <c r="H247" s="23" t="str" cm="1">
        <f t="array" ref="H247">IFERROR(INDEX(단어표[분류],MIN(IF(ISNUMBER(FIND(단어표[포함단어],표3[[#This Row],[내용]])),ROW(단어표[포함단어])-ROW(포함단어시작셀)+1,ROWS(단어표[포함단어])+1))),"")</f>
        <v>약</v>
      </c>
      <c r="I247" s="23" t="str">
        <f>VLOOKUP(H247,분류표[],2,0)</f>
        <v>의료비</v>
      </c>
      <c r="J247" s="24">
        <f t="shared" si="6"/>
        <v>44636</v>
      </c>
      <c r="K247" s="23">
        <f t="shared" si="7"/>
        <v>15</v>
      </c>
    </row>
    <row r="248" spans="1:11">
      <c r="A248" s="21">
        <v>44636</v>
      </c>
      <c r="B248" s="20" t="s">
        <v>213</v>
      </c>
      <c r="C248" s="20" t="s">
        <v>529</v>
      </c>
      <c r="D248" s="22">
        <v>11100</v>
      </c>
      <c r="E248" s="22"/>
      <c r="F248" s="20" t="s">
        <v>451</v>
      </c>
      <c r="G248" s="22">
        <v>228400</v>
      </c>
      <c r="H248" s="23" t="str" cm="1">
        <f t="array" ref="H248">IFERROR(INDEX(단어표[분류],MIN(IF(ISNUMBER(FIND(단어표[포함단어],표3[[#This Row],[내용]])),ROW(단어표[포함단어])-ROW(포함단어시작셀)+1,ROWS(단어표[포함단어])+1))),"")</f>
        <v>생활용품</v>
      </c>
      <c r="I248" s="23" t="str">
        <f>VLOOKUP(H248,분류표[],2,0)</f>
        <v>생활비</v>
      </c>
      <c r="J248" s="24">
        <f t="shared" si="6"/>
        <v>44636</v>
      </c>
      <c r="K248" s="23">
        <f t="shared" si="7"/>
        <v>15</v>
      </c>
    </row>
    <row r="249" spans="1:11">
      <c r="A249" s="21">
        <v>44636</v>
      </c>
      <c r="B249" s="20" t="s">
        <v>212</v>
      </c>
      <c r="C249" s="20" t="s">
        <v>527</v>
      </c>
      <c r="D249" s="22">
        <v>7000</v>
      </c>
      <c r="E249" s="22"/>
      <c r="F249" s="20" t="s">
        <v>472</v>
      </c>
      <c r="G249" s="22">
        <v>221400</v>
      </c>
      <c r="H249" s="23" t="str" cm="1">
        <f t="array" ref="H249">IFERROR(INDEX(단어표[분류],MIN(IF(ISNUMBER(FIND(단어표[포함단어],표3[[#This Row],[내용]])),ROW(단어표[포함단어])-ROW(포함단어시작셀)+1,ROWS(단어표[포함단어])+1))),"")</f>
        <v>주식</v>
      </c>
      <c r="I249" s="23" t="str">
        <f>VLOOKUP(H249,분류표[],2,0)</f>
        <v>식비</v>
      </c>
      <c r="J249" s="24">
        <f t="shared" si="6"/>
        <v>44636</v>
      </c>
      <c r="K249" s="23">
        <f t="shared" si="7"/>
        <v>15</v>
      </c>
    </row>
    <row r="250" spans="1:11">
      <c r="A250" s="21">
        <v>44636</v>
      </c>
      <c r="B250" s="20" t="s">
        <v>85</v>
      </c>
      <c r="C250" s="20" t="s">
        <v>527</v>
      </c>
      <c r="D250" s="22">
        <v>4800</v>
      </c>
      <c r="E250" s="22"/>
      <c r="F250" s="20" t="s">
        <v>493</v>
      </c>
      <c r="G250" s="22">
        <v>216600</v>
      </c>
      <c r="H250" s="23" t="str" cm="1">
        <f t="array" ref="H250">IFERROR(INDEX(단어표[분류],MIN(IF(ISNUMBER(FIND(단어표[포함단어],표3[[#This Row],[내용]])),ROW(단어표[포함단어])-ROW(포함단어시작셀)+1,ROWS(단어표[포함단어])+1))),"")</f>
        <v>커피</v>
      </c>
      <c r="I250" s="23" t="str">
        <f>VLOOKUP(H250,분류표[],2,0)</f>
        <v>식비</v>
      </c>
      <c r="J250" s="24">
        <f t="shared" si="6"/>
        <v>44636</v>
      </c>
      <c r="K250" s="23">
        <f t="shared" si="7"/>
        <v>16</v>
      </c>
    </row>
    <row r="251" spans="1:11">
      <c r="A251" s="21">
        <v>44637</v>
      </c>
      <c r="B251" s="20" t="s">
        <v>211</v>
      </c>
      <c r="C251" s="20" t="s">
        <v>527</v>
      </c>
      <c r="D251" s="22">
        <v>14000</v>
      </c>
      <c r="E251" s="22"/>
      <c r="F251" s="20" t="s">
        <v>471</v>
      </c>
      <c r="G251" s="22">
        <v>202600</v>
      </c>
      <c r="H251" s="23" t="str" cm="1">
        <f t="array" ref="H251">IFERROR(INDEX(단어표[분류],MIN(IF(ISNUMBER(FIND(단어표[포함단어],표3[[#This Row],[내용]])),ROW(단어표[포함단어])-ROW(포함단어시작셀)+1,ROWS(단어표[포함단어])+1))),"")</f>
        <v>주식</v>
      </c>
      <c r="I251" s="23" t="str">
        <f>VLOOKUP(H251,분류표[],2,0)</f>
        <v>식비</v>
      </c>
      <c r="J251" s="24">
        <f t="shared" si="6"/>
        <v>44637</v>
      </c>
      <c r="K251" s="23">
        <f t="shared" si="7"/>
        <v>16</v>
      </c>
    </row>
    <row r="252" spans="1:11">
      <c r="A252" s="21">
        <v>44637</v>
      </c>
      <c r="B252" s="20" t="s">
        <v>210</v>
      </c>
      <c r="C252" s="20" t="s">
        <v>527</v>
      </c>
      <c r="D252" s="22">
        <v>7800</v>
      </c>
      <c r="E252" s="22"/>
      <c r="F252" s="20" t="s">
        <v>503</v>
      </c>
      <c r="G252" s="22">
        <v>194800</v>
      </c>
      <c r="H252" s="23" t="str" cm="1">
        <f t="array" ref="H252">IFERROR(INDEX(단어표[분류],MIN(IF(ISNUMBER(FIND(단어표[포함단어],표3[[#This Row],[내용]])),ROW(단어표[포함단어])-ROW(포함단어시작셀)+1,ROWS(단어표[포함단어])+1))),"")</f>
        <v>주식</v>
      </c>
      <c r="I252" s="23" t="str">
        <f>VLOOKUP(H252,분류표[],2,0)</f>
        <v>식비</v>
      </c>
      <c r="J252" s="24">
        <f t="shared" si="6"/>
        <v>44637</v>
      </c>
      <c r="K252" s="23">
        <f t="shared" si="7"/>
        <v>16</v>
      </c>
    </row>
    <row r="253" spans="1:11">
      <c r="A253" s="21">
        <v>44637</v>
      </c>
      <c r="B253" s="20" t="s">
        <v>209</v>
      </c>
      <c r="C253" s="20" t="s">
        <v>529</v>
      </c>
      <c r="D253" s="22">
        <v>9600</v>
      </c>
      <c r="E253" s="22"/>
      <c r="F253" s="20" t="s">
        <v>475</v>
      </c>
      <c r="G253" s="22">
        <v>185200</v>
      </c>
      <c r="H253" s="23" t="str" cm="1">
        <f t="array" ref="H253">IFERROR(INDEX(단어표[분류],MIN(IF(ISNUMBER(FIND(단어표[포함단어],표3[[#This Row],[내용]])),ROW(단어표[포함단어])-ROW(포함단어시작셀)+1,ROWS(단어표[포함단어])+1))),"")</f>
        <v>커피</v>
      </c>
      <c r="I253" s="23" t="str">
        <f>VLOOKUP(H253,분류표[],2,0)</f>
        <v>식비</v>
      </c>
      <c r="J253" s="24">
        <f t="shared" si="6"/>
        <v>44637</v>
      </c>
      <c r="K253" s="23">
        <f t="shared" si="7"/>
        <v>16</v>
      </c>
    </row>
    <row r="254" spans="1:11">
      <c r="A254" s="21">
        <v>44637</v>
      </c>
      <c r="B254" s="20" t="s">
        <v>208</v>
      </c>
      <c r="C254" s="20" t="s">
        <v>527</v>
      </c>
      <c r="D254" s="22">
        <v>6300</v>
      </c>
      <c r="E254" s="22"/>
      <c r="F254" s="20" t="s">
        <v>492</v>
      </c>
      <c r="G254" s="22">
        <v>178900</v>
      </c>
      <c r="H254" s="23" t="str" cm="1">
        <f t="array" ref="H254">IFERROR(INDEX(단어표[분류],MIN(IF(ISNUMBER(FIND(단어표[포함단어],표3[[#This Row],[내용]])),ROW(단어표[포함단어])-ROW(포함단어시작셀)+1,ROWS(단어표[포함단어])+1))),"")</f>
        <v>기타식료품</v>
      </c>
      <c r="I254" s="23" t="str">
        <f>VLOOKUP(H254,분류표[],2,0)</f>
        <v>식비</v>
      </c>
      <c r="J254" s="24">
        <f t="shared" si="6"/>
        <v>44637</v>
      </c>
      <c r="K254" s="23">
        <f t="shared" si="7"/>
        <v>16</v>
      </c>
    </row>
    <row r="255" spans="1:11">
      <c r="A255" s="21">
        <v>44638</v>
      </c>
      <c r="B255" s="20" t="s">
        <v>207</v>
      </c>
      <c r="C255" s="20" t="s">
        <v>529</v>
      </c>
      <c r="D255" s="22">
        <v>21800</v>
      </c>
      <c r="E255" s="22"/>
      <c r="F255" s="20" t="s">
        <v>612</v>
      </c>
      <c r="G255" s="22">
        <v>157100</v>
      </c>
      <c r="H255" s="23" t="str" cm="1">
        <f t="array" ref="H255">IFERROR(INDEX(단어표[분류],MIN(IF(ISNUMBER(FIND(단어표[포함단어],표3[[#This Row],[내용]])),ROW(단어표[포함단어])-ROW(포함단어시작셀)+1,ROWS(단어표[포함단어])+1))),"")</f>
        <v>주식</v>
      </c>
      <c r="I255" s="23" t="str">
        <f>VLOOKUP(H255,분류표[],2,0)</f>
        <v>식비</v>
      </c>
      <c r="J255" s="24">
        <f t="shared" si="6"/>
        <v>44638</v>
      </c>
      <c r="K255" s="23">
        <f t="shared" si="7"/>
        <v>16</v>
      </c>
    </row>
    <row r="256" spans="1:11">
      <c r="A256" s="21">
        <v>44639</v>
      </c>
      <c r="B256" s="20" t="s">
        <v>206</v>
      </c>
      <c r="C256" s="20" t="s">
        <v>527</v>
      </c>
      <c r="D256" s="22">
        <v>6200</v>
      </c>
      <c r="E256" s="22"/>
      <c r="F256" s="20" t="s">
        <v>478</v>
      </c>
      <c r="G256" s="22">
        <v>150900</v>
      </c>
      <c r="H256" s="23" t="str" cm="1">
        <f t="array" ref="H256">IFERROR(INDEX(단어표[분류],MIN(IF(ISNUMBER(FIND(단어표[포함단어],표3[[#This Row],[내용]])),ROW(단어표[포함단어])-ROW(포함단어시작셀)+1,ROWS(단어표[포함단어])+1))),"")</f>
        <v>주식</v>
      </c>
      <c r="I256" s="23" t="str">
        <f>VLOOKUP(H256,분류표[],2,0)</f>
        <v>식비</v>
      </c>
      <c r="J256" s="24">
        <f t="shared" si="6"/>
        <v>44639</v>
      </c>
      <c r="K256" s="23">
        <f t="shared" si="7"/>
        <v>18</v>
      </c>
    </row>
    <row r="257" spans="1:11">
      <c r="A257" s="21">
        <v>44639</v>
      </c>
      <c r="B257" s="20" t="s">
        <v>205</v>
      </c>
      <c r="C257" s="20" t="s">
        <v>527</v>
      </c>
      <c r="D257" s="22">
        <v>4100</v>
      </c>
      <c r="E257" s="22"/>
      <c r="F257" s="20" t="s">
        <v>493</v>
      </c>
      <c r="G257" s="22">
        <v>146800</v>
      </c>
      <c r="H257" s="23" t="str" cm="1">
        <f t="array" ref="H257">IFERROR(INDEX(단어표[분류],MIN(IF(ISNUMBER(FIND(단어표[포함단어],표3[[#This Row],[내용]])),ROW(단어표[포함단어])-ROW(포함단어시작셀)+1,ROWS(단어표[포함단어])+1))),"")</f>
        <v>커피</v>
      </c>
      <c r="I257" s="23" t="str">
        <f>VLOOKUP(H257,분류표[],2,0)</f>
        <v>식비</v>
      </c>
      <c r="J257" s="24">
        <f t="shared" si="6"/>
        <v>44639</v>
      </c>
      <c r="K257" s="23">
        <f t="shared" si="7"/>
        <v>18</v>
      </c>
    </row>
    <row r="258" spans="1:11">
      <c r="A258" s="21">
        <v>44640</v>
      </c>
      <c r="B258" s="20" t="s">
        <v>204</v>
      </c>
      <c r="C258" s="20" t="s">
        <v>527</v>
      </c>
      <c r="D258" s="22">
        <v>5300</v>
      </c>
      <c r="E258" s="22"/>
      <c r="F258" s="20" t="s">
        <v>492</v>
      </c>
      <c r="G258" s="22">
        <v>141500</v>
      </c>
      <c r="H258" s="23" t="str" cm="1">
        <f t="array" ref="H258">IFERROR(INDEX(단어표[분류],MIN(IF(ISNUMBER(FIND(단어표[포함단어],표3[[#This Row],[내용]])),ROW(단어표[포함단어])-ROW(포함단어시작셀)+1,ROWS(단어표[포함단어])+1))),"")</f>
        <v>기타식료품</v>
      </c>
      <c r="I258" s="23" t="str">
        <f>VLOOKUP(H258,분류표[],2,0)</f>
        <v>식비</v>
      </c>
      <c r="J258" s="24">
        <f t="shared" si="6"/>
        <v>44640</v>
      </c>
      <c r="K258" s="23">
        <f t="shared" si="7"/>
        <v>18</v>
      </c>
    </row>
    <row r="259" spans="1:11">
      <c r="A259" s="21">
        <v>44641</v>
      </c>
      <c r="B259" s="20" t="s">
        <v>203</v>
      </c>
      <c r="C259" s="20" t="s">
        <v>527</v>
      </c>
      <c r="D259" s="22">
        <v>16200</v>
      </c>
      <c r="E259" s="22"/>
      <c r="F259" s="20" t="s">
        <v>486</v>
      </c>
      <c r="G259" s="22">
        <v>125300</v>
      </c>
      <c r="H259" s="23" t="str" cm="1">
        <f t="array" ref="H259">IFERROR(INDEX(단어표[분류],MIN(IF(ISNUMBER(FIND(단어표[포함단어],표3[[#This Row],[내용]])),ROW(단어표[포함단어])-ROW(포함단어시작셀)+1,ROWS(단어표[포함단어])+1))),"")</f>
        <v>업무관련</v>
      </c>
      <c r="I259" s="23" t="str">
        <f>VLOOKUP(H259,분류표[],2,0)</f>
        <v>사업운영비</v>
      </c>
      <c r="J259" s="24">
        <f t="shared" si="6"/>
        <v>44641</v>
      </c>
      <c r="K259" s="23">
        <f t="shared" si="7"/>
        <v>9</v>
      </c>
    </row>
    <row r="260" spans="1:11">
      <c r="A260" s="21">
        <v>44641</v>
      </c>
      <c r="B260" s="20" t="s">
        <v>202</v>
      </c>
      <c r="C260" s="20" t="s">
        <v>527</v>
      </c>
      <c r="D260" s="22">
        <v>4100</v>
      </c>
      <c r="E260" s="22"/>
      <c r="F260" s="20" t="s">
        <v>459</v>
      </c>
      <c r="G260" s="22">
        <v>121200</v>
      </c>
      <c r="H260" s="23" t="str" cm="1">
        <f t="array" ref="H260">IFERROR(INDEX(단어표[분류],MIN(IF(ISNUMBER(FIND(단어표[포함단어],표3[[#This Row],[내용]])),ROW(단어표[포함단어])-ROW(포함단어시작셀)+1,ROWS(단어표[포함단어])+1))),"")</f>
        <v>구독서비스</v>
      </c>
      <c r="I260" s="23" t="str">
        <f>VLOOKUP(H260,분류표[],2,0)</f>
        <v>생활비</v>
      </c>
      <c r="J260" s="24">
        <f t="shared" si="6"/>
        <v>44641</v>
      </c>
      <c r="K260" s="23">
        <f t="shared" si="7"/>
        <v>10</v>
      </c>
    </row>
    <row r="261" spans="1:11">
      <c r="A261" s="21">
        <v>44641</v>
      </c>
      <c r="B261" s="20" t="s">
        <v>201</v>
      </c>
      <c r="C261" s="20" t="s">
        <v>527</v>
      </c>
      <c r="D261" s="22">
        <v>40200</v>
      </c>
      <c r="E261" s="22"/>
      <c r="F261" s="20" t="s">
        <v>453</v>
      </c>
      <c r="G261" s="22">
        <v>81000</v>
      </c>
      <c r="H261" s="23" t="str" cm="1">
        <f t="array" ref="H261">IFERROR(INDEX(단어표[분류],MIN(IF(ISNUMBER(FIND(단어표[포함단어],표3[[#This Row],[내용]])),ROW(단어표[포함단어])-ROW(포함단어시작셀)+1,ROWS(단어표[포함단어])+1))),"")</f>
        <v>업무관련</v>
      </c>
      <c r="I261" s="23" t="str">
        <f>VLOOKUP(H261,분류표[],2,0)</f>
        <v>사업운영비</v>
      </c>
      <c r="J261" s="24">
        <f t="shared" si="6"/>
        <v>44641</v>
      </c>
      <c r="K261" s="23">
        <f t="shared" si="7"/>
        <v>18</v>
      </c>
    </row>
    <row r="262" spans="1:11">
      <c r="A262" s="21">
        <v>44641</v>
      </c>
      <c r="B262" s="20" t="s">
        <v>200</v>
      </c>
      <c r="C262" s="20" t="s">
        <v>527</v>
      </c>
      <c r="D262" s="22">
        <v>5200</v>
      </c>
      <c r="E262" s="22"/>
      <c r="F262" s="20" t="s">
        <v>48</v>
      </c>
      <c r="G262" s="22">
        <v>75800</v>
      </c>
      <c r="H262" s="23" t="str" cm="1">
        <f t="array" ref="H262">IFERROR(INDEX(단어표[분류],MIN(IF(ISNUMBER(FIND(단어표[포함단어],표3[[#This Row],[내용]])),ROW(단어표[포함단어])-ROW(포함단어시작셀)+1,ROWS(단어표[포함단어])+1))),"")</f>
        <v>커피</v>
      </c>
      <c r="I262" s="23" t="str">
        <f>VLOOKUP(H262,분류표[],2,0)</f>
        <v>식비</v>
      </c>
      <c r="J262" s="24">
        <f t="shared" si="6"/>
        <v>44641</v>
      </c>
      <c r="K262" s="23">
        <f t="shared" si="7"/>
        <v>18</v>
      </c>
    </row>
    <row r="263" spans="1:11">
      <c r="A263" s="21">
        <v>44641</v>
      </c>
      <c r="B263" s="20" t="s">
        <v>199</v>
      </c>
      <c r="C263" s="20" t="s">
        <v>527</v>
      </c>
      <c r="D263" s="22">
        <v>7200</v>
      </c>
      <c r="E263" s="22"/>
      <c r="F263" s="20" t="s">
        <v>492</v>
      </c>
      <c r="G263" s="22">
        <v>68600</v>
      </c>
      <c r="H263" s="23" t="str" cm="1">
        <f t="array" ref="H263">IFERROR(INDEX(단어표[분류],MIN(IF(ISNUMBER(FIND(단어표[포함단어],표3[[#This Row],[내용]])),ROW(단어표[포함단어])-ROW(포함단어시작셀)+1,ROWS(단어표[포함단어])+1))),"")</f>
        <v>기타식료품</v>
      </c>
      <c r="I263" s="23" t="str">
        <f>VLOOKUP(H263,분류표[],2,0)</f>
        <v>식비</v>
      </c>
      <c r="J263" s="24">
        <f t="shared" si="6"/>
        <v>44641</v>
      </c>
      <c r="K263" s="23">
        <f t="shared" si="7"/>
        <v>22</v>
      </c>
    </row>
    <row r="264" spans="1:11">
      <c r="A264" s="21">
        <v>44643</v>
      </c>
      <c r="B264" s="20" t="s">
        <v>30</v>
      </c>
      <c r="C264" s="20" t="s">
        <v>527</v>
      </c>
      <c r="D264" s="22">
        <v>1700</v>
      </c>
      <c r="E264" s="22"/>
      <c r="F264" s="20" t="s">
        <v>31</v>
      </c>
      <c r="G264" s="22">
        <v>66900</v>
      </c>
      <c r="H264" s="23" t="str" cm="1">
        <f t="array" ref="H264">IFERROR(INDEX(단어표[분류],MIN(IF(ISNUMBER(FIND(단어표[포함단어],표3[[#This Row],[내용]])),ROW(단어표[포함단어])-ROW(포함단어시작셀)+1,ROWS(단어표[포함단어])+1))),"")</f>
        <v>구독서비스</v>
      </c>
      <c r="I264" s="23" t="str">
        <f>VLOOKUP(H264,분류표[],2,0)</f>
        <v>생활비</v>
      </c>
      <c r="J264" s="24">
        <f t="shared" si="6"/>
        <v>44643</v>
      </c>
      <c r="K264" s="23">
        <f t="shared" si="7"/>
        <v>2</v>
      </c>
    </row>
    <row r="265" spans="1:11">
      <c r="A265" s="21">
        <v>44643</v>
      </c>
      <c r="B265" s="20" t="s">
        <v>198</v>
      </c>
      <c r="C265" s="20" t="s">
        <v>529</v>
      </c>
      <c r="D265" s="22">
        <v>8800</v>
      </c>
      <c r="E265" s="22"/>
      <c r="F265" s="20" t="s">
        <v>605</v>
      </c>
      <c r="G265" s="22">
        <v>58100</v>
      </c>
      <c r="H265" s="23" t="str" cm="1">
        <f t="array" ref="H265">IFERROR(INDEX(단어표[분류],MIN(IF(ISNUMBER(FIND(단어표[포함단어],표3[[#This Row],[내용]])),ROW(단어표[포함단어])-ROW(포함단어시작셀)+1,ROWS(단어표[포함단어])+1))),"")</f>
        <v>커피</v>
      </c>
      <c r="I265" s="23" t="str">
        <f>VLOOKUP(H265,분류표[],2,0)</f>
        <v>식비</v>
      </c>
      <c r="J265" s="24">
        <f t="shared" ref="J265:J328" si="8">A265</f>
        <v>44643</v>
      </c>
      <c r="K265" s="23">
        <f t="shared" ref="K265:K328" si="9">HOUR(B265)</f>
        <v>14</v>
      </c>
    </row>
    <row r="266" spans="1:11">
      <c r="A266" s="21">
        <v>44643</v>
      </c>
      <c r="B266" s="20" t="s">
        <v>197</v>
      </c>
      <c r="C266" s="20" t="s">
        <v>529</v>
      </c>
      <c r="D266" s="22">
        <v>17000</v>
      </c>
      <c r="E266" s="22"/>
      <c r="F266" s="20" t="s">
        <v>613</v>
      </c>
      <c r="G266" s="22">
        <v>41100</v>
      </c>
      <c r="H266" s="23" t="str" cm="1">
        <f t="array" ref="H266">IFERROR(INDEX(단어표[분류],MIN(IF(ISNUMBER(FIND(단어표[포함단어],표3[[#This Row],[내용]])),ROW(단어표[포함단어])-ROW(포함단어시작셀)+1,ROWS(단어표[포함단어])+1))),"")</f>
        <v>주식</v>
      </c>
      <c r="I266" s="23" t="str">
        <f>VLOOKUP(H266,분류표[],2,0)</f>
        <v>식비</v>
      </c>
      <c r="J266" s="24">
        <f t="shared" si="8"/>
        <v>44643</v>
      </c>
      <c r="K266" s="23">
        <f t="shared" si="9"/>
        <v>15</v>
      </c>
    </row>
    <row r="267" spans="1:11">
      <c r="A267" s="21">
        <v>44643</v>
      </c>
      <c r="B267" s="20" t="s">
        <v>196</v>
      </c>
      <c r="C267" s="20" t="s">
        <v>527</v>
      </c>
      <c r="D267" s="22">
        <v>10500</v>
      </c>
      <c r="E267" s="22"/>
      <c r="F267" s="20" t="s">
        <v>452</v>
      </c>
      <c r="G267" s="22">
        <v>30600</v>
      </c>
      <c r="H267" s="23" t="str" cm="1">
        <f t="array" ref="H267">IFERROR(INDEX(단어표[분류],MIN(IF(ISNUMBER(FIND(단어표[포함단어],표3[[#This Row],[내용]])),ROW(단어표[포함단어])-ROW(포함단어시작셀)+1,ROWS(단어표[포함단어])+1))),"")</f>
        <v>선물</v>
      </c>
      <c r="I267" s="23" t="str">
        <f>VLOOKUP(H267,분류표[],2,0)</f>
        <v>경조사비</v>
      </c>
      <c r="J267" s="24">
        <f t="shared" si="8"/>
        <v>44643</v>
      </c>
      <c r="K267" s="23">
        <f t="shared" si="9"/>
        <v>20</v>
      </c>
    </row>
    <row r="268" spans="1:11">
      <c r="A268" s="21">
        <v>44643</v>
      </c>
      <c r="B268" s="20" t="s">
        <v>195</v>
      </c>
      <c r="C268" s="20" t="s">
        <v>529</v>
      </c>
      <c r="D268" s="22">
        <v>17600</v>
      </c>
      <c r="E268" s="22"/>
      <c r="F268" s="20" t="s">
        <v>457</v>
      </c>
      <c r="G268" s="22">
        <v>13000</v>
      </c>
      <c r="H268" s="23" t="str" cm="1">
        <f t="array" ref="H268">IFERROR(INDEX(단어표[분류],MIN(IF(ISNUMBER(FIND(단어표[포함단어],표3[[#This Row],[내용]])),ROW(단어표[포함단어])-ROW(포함단어시작셀)+1,ROWS(단어표[포함단어])+1))),"")</f>
        <v>간식</v>
      </c>
      <c r="I268" s="23" t="str">
        <f>VLOOKUP(H268,분류표[],2,0)</f>
        <v>식비</v>
      </c>
      <c r="J268" s="24">
        <f t="shared" si="8"/>
        <v>44643</v>
      </c>
      <c r="K268" s="23">
        <f t="shared" si="9"/>
        <v>21</v>
      </c>
    </row>
    <row r="269" spans="1:11">
      <c r="A269" s="21">
        <v>44645</v>
      </c>
      <c r="B269" s="25">
        <v>0.42731481481481487</v>
      </c>
      <c r="C269" s="20" t="s">
        <v>529</v>
      </c>
      <c r="D269" s="22"/>
      <c r="E269" s="22">
        <v>2825000</v>
      </c>
      <c r="F269" s="20" t="s">
        <v>528</v>
      </c>
      <c r="G269" s="22">
        <v>2838000</v>
      </c>
      <c r="H269" s="23" t="str" cm="1">
        <f t="array" ref="H269">IFERROR(INDEX(단어표[분류],MIN(IF(ISNUMBER(FIND(단어표[포함단어],표3[[#This Row],[내용]])),ROW(단어표[포함단어])-ROW(포함단어시작셀)+1,ROWS(단어표[포함단어])+1))),"")</f>
        <v>급여</v>
      </c>
      <c r="I269" s="23" t="str">
        <f>VLOOKUP(H269,분류표[],2,0)</f>
        <v>수입</v>
      </c>
      <c r="J269" s="24">
        <f t="shared" si="8"/>
        <v>44645</v>
      </c>
      <c r="K269" s="23">
        <f t="shared" si="9"/>
        <v>10</v>
      </c>
    </row>
    <row r="270" spans="1:11">
      <c r="A270" s="21">
        <v>44645</v>
      </c>
      <c r="B270" s="25">
        <v>0.42745370370370367</v>
      </c>
      <c r="C270" s="20" t="s">
        <v>642</v>
      </c>
      <c r="D270" s="22">
        <v>450000</v>
      </c>
      <c r="E270" s="22"/>
      <c r="F270" s="20" t="s">
        <v>647</v>
      </c>
      <c r="G270" s="22">
        <v>2388000</v>
      </c>
      <c r="H270" s="23" t="str" cm="1">
        <f t="array" ref="H270">IFERROR(INDEX(단어표[분류],MIN(IF(ISNUMBER(FIND(단어표[포함단어],표3[[#This Row],[내용]])),ROW(단어표[포함단어])-ROW(포함단어시작셀)+1,ROWS(단어표[포함단어])+1))),"")</f>
        <v>예적금</v>
      </c>
      <c r="I270" s="23" t="str">
        <f>VLOOKUP(H270,분류표[],2,0)</f>
        <v>투자비</v>
      </c>
      <c r="J270" s="24">
        <f t="shared" si="8"/>
        <v>44645</v>
      </c>
      <c r="K270" s="23">
        <f t="shared" si="9"/>
        <v>10</v>
      </c>
    </row>
    <row r="271" spans="1:11">
      <c r="A271" s="21">
        <v>44645</v>
      </c>
      <c r="B271" s="20" t="s">
        <v>194</v>
      </c>
      <c r="C271" s="20" t="s">
        <v>527</v>
      </c>
      <c r="D271" s="22">
        <v>5300</v>
      </c>
      <c r="E271" s="22"/>
      <c r="F271" s="20" t="s">
        <v>496</v>
      </c>
      <c r="G271" s="22">
        <v>2382700</v>
      </c>
      <c r="H271" s="23" t="str" cm="1">
        <f t="array" ref="H271">IFERROR(INDEX(단어표[분류],MIN(IF(ISNUMBER(FIND(단어표[포함단어],표3[[#This Row],[내용]])),ROW(단어표[포함단어])-ROW(포함단어시작셀)+1,ROWS(단어표[포함단어])+1))),"")</f>
        <v>기타생활비</v>
      </c>
      <c r="I271" s="23" t="str">
        <f>VLOOKUP(H271,분류표[],2,0)</f>
        <v>생활비</v>
      </c>
      <c r="J271" s="24">
        <f t="shared" si="8"/>
        <v>44645</v>
      </c>
      <c r="K271" s="23">
        <f t="shared" si="9"/>
        <v>12</v>
      </c>
    </row>
    <row r="272" spans="1:11">
      <c r="A272" s="21">
        <v>44645</v>
      </c>
      <c r="B272" s="20" t="s">
        <v>193</v>
      </c>
      <c r="C272" s="20" t="s">
        <v>527</v>
      </c>
      <c r="D272" s="22">
        <v>5200</v>
      </c>
      <c r="E272" s="22"/>
      <c r="F272" s="20" t="s">
        <v>492</v>
      </c>
      <c r="G272" s="22">
        <v>2377500</v>
      </c>
      <c r="H272" s="23" t="str" cm="1">
        <f t="array" ref="H272">IFERROR(INDEX(단어표[분류],MIN(IF(ISNUMBER(FIND(단어표[포함단어],표3[[#This Row],[내용]])),ROW(단어표[포함단어])-ROW(포함단어시작셀)+1,ROWS(단어표[포함단어])+1))),"")</f>
        <v>기타식료품</v>
      </c>
      <c r="I272" s="23" t="str">
        <f>VLOOKUP(H272,분류표[],2,0)</f>
        <v>식비</v>
      </c>
      <c r="J272" s="24">
        <f t="shared" si="8"/>
        <v>44645</v>
      </c>
      <c r="K272" s="23">
        <f t="shared" si="9"/>
        <v>18</v>
      </c>
    </row>
    <row r="273" spans="1:11">
      <c r="A273" s="21">
        <v>44645</v>
      </c>
      <c r="B273" s="20" t="s">
        <v>192</v>
      </c>
      <c r="C273" s="20" t="s">
        <v>462</v>
      </c>
      <c r="D273" s="22">
        <v>42100</v>
      </c>
      <c r="E273" s="22"/>
      <c r="F273" s="20" t="s">
        <v>487</v>
      </c>
      <c r="G273" s="22">
        <v>2335400</v>
      </c>
      <c r="H273" s="23" t="str" cm="1">
        <f t="array" ref="H273">IFERROR(INDEX(단어표[분류],MIN(IF(ISNUMBER(FIND(단어표[포함단어],표3[[#This Row],[내용]])),ROW(단어표[포함단어])-ROW(포함단어시작셀)+1,ROWS(단어표[포함단어])+1))),"")</f>
        <v>생명보험</v>
      </c>
      <c r="I273" s="23" t="str">
        <f>VLOOKUP(H273,분류표[],2,0)</f>
        <v>보험비</v>
      </c>
      <c r="J273" s="24">
        <f t="shared" si="8"/>
        <v>44645</v>
      </c>
      <c r="K273" s="23">
        <f t="shared" si="9"/>
        <v>18</v>
      </c>
    </row>
    <row r="274" spans="1:11">
      <c r="A274" s="21">
        <v>44645</v>
      </c>
      <c r="B274" s="20" t="s">
        <v>191</v>
      </c>
      <c r="C274" s="20" t="s">
        <v>529</v>
      </c>
      <c r="D274" s="22">
        <v>26400</v>
      </c>
      <c r="E274" s="22"/>
      <c r="F274" s="20" t="s">
        <v>491</v>
      </c>
      <c r="G274" s="22">
        <v>2309000</v>
      </c>
      <c r="H274" s="23" t="str" cm="1">
        <f t="array" ref="H274">IFERROR(INDEX(단어표[분류],MIN(IF(ISNUMBER(FIND(단어표[포함단어],표3[[#This Row],[내용]])),ROW(단어표[포함단어])-ROW(포함단어시작셀)+1,ROWS(단어표[포함단어])+1))),"")</f>
        <v>기부금</v>
      </c>
      <c r="I274" s="23" t="str">
        <f>VLOOKUP(H274,분류표[],2,0)</f>
        <v>경조사비</v>
      </c>
      <c r="J274" s="24">
        <f t="shared" si="8"/>
        <v>44645</v>
      </c>
      <c r="K274" s="23">
        <f t="shared" si="9"/>
        <v>19</v>
      </c>
    </row>
    <row r="275" spans="1:11">
      <c r="A275" s="21">
        <v>44645</v>
      </c>
      <c r="B275" s="20" t="s">
        <v>190</v>
      </c>
      <c r="C275" s="20" t="s">
        <v>527</v>
      </c>
      <c r="D275" s="22">
        <v>1500</v>
      </c>
      <c r="E275" s="22"/>
      <c r="F275" s="20" t="s">
        <v>492</v>
      </c>
      <c r="G275" s="22">
        <v>2307500</v>
      </c>
      <c r="H275" s="23" t="str" cm="1">
        <f t="array" ref="H275">IFERROR(INDEX(단어표[분류],MIN(IF(ISNUMBER(FIND(단어표[포함단어],표3[[#This Row],[내용]])),ROW(단어표[포함단어])-ROW(포함단어시작셀)+1,ROWS(단어표[포함단어])+1))),"")</f>
        <v>기타식료품</v>
      </c>
      <c r="I275" s="23" t="str">
        <f>VLOOKUP(H275,분류표[],2,0)</f>
        <v>식비</v>
      </c>
      <c r="J275" s="24">
        <f t="shared" si="8"/>
        <v>44645</v>
      </c>
      <c r="K275" s="23">
        <f t="shared" si="9"/>
        <v>21</v>
      </c>
    </row>
    <row r="276" spans="1:11">
      <c r="A276" s="21">
        <v>44645</v>
      </c>
      <c r="B276" s="20" t="s">
        <v>189</v>
      </c>
      <c r="C276" s="20" t="s">
        <v>460</v>
      </c>
      <c r="D276" s="22">
        <v>101500</v>
      </c>
      <c r="E276" s="22"/>
      <c r="F276" s="20" t="s">
        <v>525</v>
      </c>
      <c r="G276" s="22">
        <v>2206000</v>
      </c>
      <c r="H276" s="23" t="str" cm="1">
        <f t="array" ref="H276">IFERROR(INDEX(단어표[분류],MIN(IF(ISNUMBER(FIND(단어표[포함단어],표3[[#This Row],[내용]])),ROW(단어표[포함단어])-ROW(포함단어시작셀)+1,ROWS(단어표[포함단어])+1))),"")</f>
        <v>월세</v>
      </c>
      <c r="I276" s="23" t="str">
        <f>VLOOKUP(H276,분류표[],2,0)</f>
        <v>주거/공과금</v>
      </c>
      <c r="J276" s="24">
        <f t="shared" si="8"/>
        <v>44645</v>
      </c>
      <c r="K276" s="23">
        <f t="shared" si="9"/>
        <v>22</v>
      </c>
    </row>
    <row r="277" spans="1:11">
      <c r="A277" s="21">
        <v>44645</v>
      </c>
      <c r="B277" s="20" t="s">
        <v>188</v>
      </c>
      <c r="C277" s="20" t="s">
        <v>460</v>
      </c>
      <c r="D277" s="22">
        <v>805200</v>
      </c>
      <c r="E277" s="22"/>
      <c r="F277" s="20" t="s">
        <v>526</v>
      </c>
      <c r="G277" s="22">
        <v>1400800</v>
      </c>
      <c r="H277" s="23" t="str" cm="1">
        <f t="array" ref="H277">IFERROR(INDEX(단어표[분류],MIN(IF(ISNUMBER(FIND(단어표[포함단어],표3[[#This Row],[내용]])),ROW(단어표[포함단어])-ROW(포함단어시작셀)+1,ROWS(단어표[포함단어])+1))),"")</f>
        <v>월세</v>
      </c>
      <c r="I277" s="23" t="str">
        <f>VLOOKUP(H277,분류표[],2,0)</f>
        <v>주거/공과금</v>
      </c>
      <c r="J277" s="24">
        <f t="shared" si="8"/>
        <v>44645</v>
      </c>
      <c r="K277" s="23">
        <f t="shared" si="9"/>
        <v>22</v>
      </c>
    </row>
    <row r="278" spans="1:11">
      <c r="A278" s="21">
        <v>44645</v>
      </c>
      <c r="B278" s="20" t="s">
        <v>187</v>
      </c>
      <c r="C278" s="20" t="s">
        <v>460</v>
      </c>
      <c r="D278" s="22">
        <v>15500</v>
      </c>
      <c r="E278" s="22"/>
      <c r="F278" s="20" t="s">
        <v>524</v>
      </c>
      <c r="G278" s="22">
        <v>1385300</v>
      </c>
      <c r="H278" s="23" t="str" cm="1">
        <f t="array" ref="H278">IFERROR(INDEX(단어표[분류],MIN(IF(ISNUMBER(FIND(단어표[포함단어],표3[[#This Row],[내용]])),ROW(단어표[포함단어])-ROW(포함단어시작셀)+1,ROWS(단어표[포함단어])+1))),"")</f>
        <v>월세</v>
      </c>
      <c r="I278" s="23" t="str">
        <f>VLOOKUP(H278,분류표[],2,0)</f>
        <v>주거/공과금</v>
      </c>
      <c r="J278" s="24">
        <f t="shared" si="8"/>
        <v>44645</v>
      </c>
      <c r="K278" s="23">
        <f t="shared" si="9"/>
        <v>22</v>
      </c>
    </row>
    <row r="279" spans="1:11">
      <c r="A279" s="21">
        <v>44646</v>
      </c>
      <c r="B279" s="20" t="s">
        <v>186</v>
      </c>
      <c r="C279" s="20" t="s">
        <v>527</v>
      </c>
      <c r="D279" s="22">
        <v>21600</v>
      </c>
      <c r="E279" s="22"/>
      <c r="F279" s="20" t="s">
        <v>452</v>
      </c>
      <c r="G279" s="22">
        <v>1363700</v>
      </c>
      <c r="H279" s="23" t="str" cm="1">
        <f t="array" ref="H279">IFERROR(INDEX(단어표[분류],MIN(IF(ISNUMBER(FIND(단어표[포함단어],표3[[#This Row],[내용]])),ROW(단어표[포함단어])-ROW(포함단어시작셀)+1,ROWS(단어표[포함단어])+1))),"")</f>
        <v>선물</v>
      </c>
      <c r="I279" s="23" t="str">
        <f>VLOOKUP(H279,분류표[],2,0)</f>
        <v>경조사비</v>
      </c>
      <c r="J279" s="24">
        <f t="shared" si="8"/>
        <v>44646</v>
      </c>
      <c r="K279" s="23">
        <f t="shared" si="9"/>
        <v>18</v>
      </c>
    </row>
    <row r="280" spans="1:11">
      <c r="A280" s="21">
        <v>44646</v>
      </c>
      <c r="B280" s="20" t="s">
        <v>185</v>
      </c>
      <c r="C280" s="20" t="s">
        <v>527</v>
      </c>
      <c r="D280" s="22">
        <v>4500</v>
      </c>
      <c r="E280" s="22"/>
      <c r="F280" s="20" t="s">
        <v>456</v>
      </c>
      <c r="G280" s="22">
        <v>1359200</v>
      </c>
      <c r="H280" s="23" t="str" cm="1">
        <f t="array" ref="H280">IFERROR(INDEX(단어표[분류],MIN(IF(ISNUMBER(FIND(단어표[포함단어],표3[[#This Row],[내용]])),ROW(단어표[포함단어])-ROW(포함단어시작셀)+1,ROWS(단어표[포함단어])+1))),"")</f>
        <v>간식</v>
      </c>
      <c r="I280" s="23" t="str">
        <f>VLOOKUP(H280,분류표[],2,0)</f>
        <v>식비</v>
      </c>
      <c r="J280" s="24">
        <f t="shared" si="8"/>
        <v>44646</v>
      </c>
      <c r="K280" s="23">
        <f t="shared" si="9"/>
        <v>19</v>
      </c>
    </row>
    <row r="281" spans="1:11">
      <c r="A281" s="21">
        <v>44646</v>
      </c>
      <c r="B281" s="20" t="s">
        <v>184</v>
      </c>
      <c r="C281" s="20" t="s">
        <v>527</v>
      </c>
      <c r="D281" s="22">
        <v>1900</v>
      </c>
      <c r="E281" s="22"/>
      <c r="F281" s="20" t="s">
        <v>492</v>
      </c>
      <c r="G281" s="22">
        <v>1357300</v>
      </c>
      <c r="H281" s="23" t="str" cm="1">
        <f t="array" ref="H281">IFERROR(INDEX(단어표[분류],MIN(IF(ISNUMBER(FIND(단어표[포함단어],표3[[#This Row],[내용]])),ROW(단어표[포함단어])-ROW(포함단어시작셀)+1,ROWS(단어표[포함단어])+1))),"")</f>
        <v>기타식료품</v>
      </c>
      <c r="I281" s="23" t="str">
        <f>VLOOKUP(H281,분류표[],2,0)</f>
        <v>식비</v>
      </c>
      <c r="J281" s="24">
        <f t="shared" si="8"/>
        <v>44646</v>
      </c>
      <c r="K281" s="23">
        <f t="shared" si="9"/>
        <v>19</v>
      </c>
    </row>
    <row r="282" spans="1:11">
      <c r="A282" s="21">
        <v>44647</v>
      </c>
      <c r="B282" s="20" t="s">
        <v>183</v>
      </c>
      <c r="C282" s="20" t="s">
        <v>527</v>
      </c>
      <c r="D282" s="22">
        <v>6200</v>
      </c>
      <c r="E282" s="22"/>
      <c r="F282" s="20" t="s">
        <v>492</v>
      </c>
      <c r="G282" s="22">
        <v>1351100</v>
      </c>
      <c r="H282" s="23" t="str" cm="1">
        <f t="array" ref="H282">IFERROR(INDEX(단어표[분류],MIN(IF(ISNUMBER(FIND(단어표[포함단어],표3[[#This Row],[내용]])),ROW(단어표[포함단어])-ROW(포함단어시작셀)+1,ROWS(단어표[포함단어])+1))),"")</f>
        <v>기타식료품</v>
      </c>
      <c r="I282" s="23" t="str">
        <f>VLOOKUP(H282,분류표[],2,0)</f>
        <v>식비</v>
      </c>
      <c r="J282" s="24">
        <f t="shared" si="8"/>
        <v>44647</v>
      </c>
      <c r="K282" s="23">
        <f t="shared" si="9"/>
        <v>21</v>
      </c>
    </row>
    <row r="283" spans="1:11">
      <c r="A283" s="21">
        <v>44648</v>
      </c>
      <c r="B283" s="20" t="s">
        <v>182</v>
      </c>
      <c r="C283" s="20" t="s">
        <v>19</v>
      </c>
      <c r="D283" s="22">
        <v>1800</v>
      </c>
      <c r="E283" s="22"/>
      <c r="F283" s="20" t="s">
        <v>517</v>
      </c>
      <c r="G283" s="22">
        <v>1349300</v>
      </c>
      <c r="H283" s="23" t="str" cm="1">
        <f t="array" ref="H283">IFERROR(INDEX(단어표[분류],MIN(IF(ISNUMBER(FIND(단어표[포함단어],표3[[#This Row],[내용]])),ROW(단어표[포함단어])-ROW(포함단어시작셀)+1,ROWS(단어표[포함단어])+1))),"")</f>
        <v>휴대폰</v>
      </c>
      <c r="I283" s="23" t="str">
        <f>VLOOKUP(H283,분류표[],2,0)</f>
        <v>통신비</v>
      </c>
      <c r="J283" s="24">
        <f t="shared" si="8"/>
        <v>44648</v>
      </c>
      <c r="K283" s="23">
        <f t="shared" si="9"/>
        <v>7</v>
      </c>
    </row>
    <row r="284" spans="1:11">
      <c r="A284" s="21">
        <v>44648</v>
      </c>
      <c r="B284" s="20" t="s">
        <v>181</v>
      </c>
      <c r="C284" s="20" t="s">
        <v>527</v>
      </c>
      <c r="D284" s="22">
        <v>10500</v>
      </c>
      <c r="E284" s="22"/>
      <c r="F284" s="20" t="s">
        <v>463</v>
      </c>
      <c r="G284" s="22">
        <v>1338800</v>
      </c>
      <c r="H284" s="23" t="str" cm="1">
        <f t="array" ref="H284">IFERROR(INDEX(단어표[분류],MIN(IF(ISNUMBER(FIND(단어표[포함단어],표3[[#This Row],[내용]])),ROW(단어표[포함단어])-ROW(포함단어시작셀)+1,ROWS(단어표[포함단어])+1))),"")</f>
        <v>약</v>
      </c>
      <c r="I284" s="23" t="str">
        <f>VLOOKUP(H284,분류표[],2,0)</f>
        <v>의료비</v>
      </c>
      <c r="J284" s="24">
        <f t="shared" si="8"/>
        <v>44648</v>
      </c>
      <c r="K284" s="23">
        <f t="shared" si="9"/>
        <v>15</v>
      </c>
    </row>
    <row r="285" spans="1:11">
      <c r="A285" s="21">
        <v>44648</v>
      </c>
      <c r="B285" s="20" t="s">
        <v>180</v>
      </c>
      <c r="C285" s="20" t="s">
        <v>527</v>
      </c>
      <c r="D285" s="22">
        <v>4500</v>
      </c>
      <c r="E285" s="22"/>
      <c r="F285" s="20" t="s">
        <v>493</v>
      </c>
      <c r="G285" s="22">
        <v>1334300</v>
      </c>
      <c r="H285" s="23" t="str" cm="1">
        <f t="array" ref="H285">IFERROR(INDEX(단어표[분류],MIN(IF(ISNUMBER(FIND(단어표[포함단어],표3[[#This Row],[내용]])),ROW(단어표[포함단어])-ROW(포함단어시작셀)+1,ROWS(단어표[포함단어])+1))),"")</f>
        <v>커피</v>
      </c>
      <c r="I285" s="23" t="str">
        <f>VLOOKUP(H285,분류표[],2,0)</f>
        <v>식비</v>
      </c>
      <c r="J285" s="24">
        <f t="shared" si="8"/>
        <v>44648</v>
      </c>
      <c r="K285" s="23">
        <f t="shared" si="9"/>
        <v>15</v>
      </c>
    </row>
    <row r="286" spans="1:11">
      <c r="A286" s="21">
        <v>44648</v>
      </c>
      <c r="B286" s="20" t="s">
        <v>179</v>
      </c>
      <c r="C286" s="20" t="s">
        <v>527</v>
      </c>
      <c r="D286" s="22">
        <v>1400</v>
      </c>
      <c r="E286" s="22"/>
      <c r="F286" s="20" t="s">
        <v>496</v>
      </c>
      <c r="G286" s="22">
        <v>1332900</v>
      </c>
      <c r="H286" s="23" t="str" cm="1">
        <f t="array" ref="H286">IFERROR(INDEX(단어표[분류],MIN(IF(ISNUMBER(FIND(단어표[포함단어],표3[[#This Row],[내용]])),ROW(단어표[포함단어])-ROW(포함단어시작셀)+1,ROWS(단어표[포함단어])+1))),"")</f>
        <v>기타생활비</v>
      </c>
      <c r="I286" s="23" t="str">
        <f>VLOOKUP(H286,분류표[],2,0)</f>
        <v>생활비</v>
      </c>
      <c r="J286" s="24">
        <f t="shared" si="8"/>
        <v>44648</v>
      </c>
      <c r="K286" s="23">
        <f t="shared" si="9"/>
        <v>16</v>
      </c>
    </row>
    <row r="287" spans="1:11">
      <c r="A287" s="21">
        <v>44649</v>
      </c>
      <c r="B287" s="20" t="s">
        <v>178</v>
      </c>
      <c r="C287" s="20" t="s">
        <v>527</v>
      </c>
      <c r="D287" s="22">
        <v>4000</v>
      </c>
      <c r="E287" s="22"/>
      <c r="F287" s="20" t="s">
        <v>493</v>
      </c>
      <c r="G287" s="22">
        <v>1328900</v>
      </c>
      <c r="H287" s="23" t="str" cm="1">
        <f t="array" ref="H287">IFERROR(INDEX(단어표[분류],MIN(IF(ISNUMBER(FIND(단어표[포함단어],표3[[#This Row],[내용]])),ROW(단어표[포함단어])-ROW(포함단어시작셀)+1,ROWS(단어표[포함단어])+1))),"")</f>
        <v>커피</v>
      </c>
      <c r="I287" s="23" t="str">
        <f>VLOOKUP(H287,분류표[],2,0)</f>
        <v>식비</v>
      </c>
      <c r="J287" s="24">
        <f t="shared" si="8"/>
        <v>44649</v>
      </c>
      <c r="K287" s="23">
        <f t="shared" si="9"/>
        <v>13</v>
      </c>
    </row>
    <row r="288" spans="1:11">
      <c r="A288" s="21">
        <v>44650</v>
      </c>
      <c r="B288" s="20" t="s">
        <v>177</v>
      </c>
      <c r="C288" s="20" t="s">
        <v>527</v>
      </c>
      <c r="D288" s="22">
        <v>6600</v>
      </c>
      <c r="E288" s="22"/>
      <c r="F288" s="20" t="s">
        <v>492</v>
      </c>
      <c r="G288" s="22">
        <v>1322300</v>
      </c>
      <c r="H288" s="23" t="str" cm="1">
        <f t="array" ref="H288">IFERROR(INDEX(단어표[분류],MIN(IF(ISNUMBER(FIND(단어표[포함단어],표3[[#This Row],[내용]])),ROW(단어표[포함단어])-ROW(포함단어시작셀)+1,ROWS(단어표[포함단어])+1))),"")</f>
        <v>기타식료품</v>
      </c>
      <c r="I288" s="23" t="str">
        <f>VLOOKUP(H288,분류표[],2,0)</f>
        <v>식비</v>
      </c>
      <c r="J288" s="24">
        <f t="shared" si="8"/>
        <v>44650</v>
      </c>
      <c r="K288" s="23">
        <f t="shared" si="9"/>
        <v>16</v>
      </c>
    </row>
    <row r="289" spans="1:11">
      <c r="A289" s="21">
        <v>44650</v>
      </c>
      <c r="B289" s="20" t="s">
        <v>176</v>
      </c>
      <c r="C289" s="20" t="s">
        <v>527</v>
      </c>
      <c r="D289" s="22">
        <v>5300</v>
      </c>
      <c r="E289" s="22"/>
      <c r="F289" s="20" t="s">
        <v>448</v>
      </c>
      <c r="G289" s="22">
        <v>1317000</v>
      </c>
      <c r="H289" s="23" t="str" cm="1">
        <f t="array" ref="H289">IFERROR(INDEX(단어표[분류],MIN(IF(ISNUMBER(FIND(단어표[포함단어],표3[[#This Row],[내용]])),ROW(단어표[포함단어])-ROW(포함단어시작셀)+1,ROWS(단어표[포함단어])+1))),"")</f>
        <v>주식</v>
      </c>
      <c r="I289" s="23" t="str">
        <f>VLOOKUP(H289,분류표[],2,0)</f>
        <v>식비</v>
      </c>
      <c r="J289" s="24">
        <f t="shared" si="8"/>
        <v>44650</v>
      </c>
      <c r="K289" s="23">
        <f t="shared" si="9"/>
        <v>16</v>
      </c>
    </row>
    <row r="290" spans="1:11">
      <c r="A290" s="21">
        <v>44650</v>
      </c>
      <c r="B290" s="20" t="s">
        <v>175</v>
      </c>
      <c r="C290" s="20" t="s">
        <v>527</v>
      </c>
      <c r="D290" s="22">
        <v>3900</v>
      </c>
      <c r="E290" s="22"/>
      <c r="F290" s="20" t="s">
        <v>493</v>
      </c>
      <c r="G290" s="22">
        <v>1313100</v>
      </c>
      <c r="H290" s="23" t="str" cm="1">
        <f t="array" ref="H290">IFERROR(INDEX(단어표[분류],MIN(IF(ISNUMBER(FIND(단어표[포함단어],표3[[#This Row],[내용]])),ROW(단어표[포함단어])-ROW(포함단어시작셀)+1,ROWS(단어표[포함단어])+1))),"")</f>
        <v>커피</v>
      </c>
      <c r="I290" s="23" t="str">
        <f>VLOOKUP(H290,분류표[],2,0)</f>
        <v>식비</v>
      </c>
      <c r="J290" s="24">
        <f t="shared" si="8"/>
        <v>44650</v>
      </c>
      <c r="K290" s="23">
        <f t="shared" si="9"/>
        <v>17</v>
      </c>
    </row>
    <row r="291" spans="1:11">
      <c r="A291" s="21">
        <v>44650</v>
      </c>
      <c r="B291" s="20" t="s">
        <v>174</v>
      </c>
      <c r="C291" s="20" t="s">
        <v>529</v>
      </c>
      <c r="D291" s="22">
        <v>9500</v>
      </c>
      <c r="E291" s="22"/>
      <c r="F291" s="20" t="s">
        <v>494</v>
      </c>
      <c r="G291" s="22">
        <v>1303600</v>
      </c>
      <c r="H291" s="23" t="str" cm="1">
        <f t="array" ref="H291">IFERROR(INDEX(단어표[분류],MIN(IF(ISNUMBER(FIND(단어표[포함단어],표3[[#This Row],[내용]])),ROW(단어표[포함단어])-ROW(포함단어시작셀)+1,ROWS(단어표[포함단어])+1))),"")</f>
        <v>커피</v>
      </c>
      <c r="I291" s="23" t="str">
        <f>VLOOKUP(H291,분류표[],2,0)</f>
        <v>식비</v>
      </c>
      <c r="J291" s="24">
        <f t="shared" si="8"/>
        <v>44650</v>
      </c>
      <c r="K291" s="23">
        <f t="shared" si="9"/>
        <v>22</v>
      </c>
    </row>
    <row r="292" spans="1:11">
      <c r="A292" s="21">
        <v>44651</v>
      </c>
      <c r="B292" s="20" t="s">
        <v>173</v>
      </c>
      <c r="C292" s="20" t="s">
        <v>527</v>
      </c>
      <c r="D292" s="22">
        <v>4000</v>
      </c>
      <c r="E292" s="22"/>
      <c r="F292" s="20" t="s">
        <v>492</v>
      </c>
      <c r="G292" s="22">
        <v>1299600</v>
      </c>
      <c r="H292" s="23" t="str" cm="1">
        <f t="array" ref="H292">IFERROR(INDEX(단어표[분류],MIN(IF(ISNUMBER(FIND(단어표[포함단어],표3[[#This Row],[내용]])),ROW(단어표[포함단어])-ROW(포함단어시작셀)+1,ROWS(단어표[포함단어])+1))),"")</f>
        <v>기타식료품</v>
      </c>
      <c r="I292" s="23" t="str">
        <f>VLOOKUP(H292,분류표[],2,0)</f>
        <v>식비</v>
      </c>
      <c r="J292" s="24">
        <f t="shared" si="8"/>
        <v>44651</v>
      </c>
      <c r="K292" s="23">
        <f t="shared" si="9"/>
        <v>1</v>
      </c>
    </row>
    <row r="293" spans="1:11">
      <c r="A293" s="21">
        <v>44651</v>
      </c>
      <c r="B293" s="20" t="s">
        <v>172</v>
      </c>
      <c r="C293" s="20" t="s">
        <v>462</v>
      </c>
      <c r="D293" s="22">
        <v>18000</v>
      </c>
      <c r="E293" s="22"/>
      <c r="F293" s="20" t="s">
        <v>490</v>
      </c>
      <c r="G293" s="22">
        <v>1281600</v>
      </c>
      <c r="H293" s="23" t="str" cm="1">
        <f t="array" ref="H293">IFERROR(INDEX(단어표[분류],MIN(IF(ISNUMBER(FIND(단어표[포함단어],표3[[#This Row],[내용]])),ROW(단어표[포함단어])-ROW(포함단어시작셀)+1,ROWS(단어표[포함단어])+1))),"")</f>
        <v>건강보험</v>
      </c>
      <c r="I293" s="23" t="str">
        <f>VLOOKUP(H293,분류표[],2,0)</f>
        <v>보험비</v>
      </c>
      <c r="J293" s="24">
        <f t="shared" si="8"/>
        <v>44651</v>
      </c>
      <c r="K293" s="23">
        <f t="shared" si="9"/>
        <v>7</v>
      </c>
    </row>
    <row r="294" spans="1:11">
      <c r="A294" s="21">
        <v>44651</v>
      </c>
      <c r="B294" s="20" t="s">
        <v>171</v>
      </c>
      <c r="C294" s="20" t="s">
        <v>527</v>
      </c>
      <c r="D294" s="22">
        <v>5800</v>
      </c>
      <c r="E294" s="22"/>
      <c r="F294" s="20" t="s">
        <v>492</v>
      </c>
      <c r="G294" s="22">
        <v>1275800</v>
      </c>
      <c r="H294" s="23" t="str" cm="1">
        <f t="array" ref="H294">IFERROR(INDEX(단어표[분류],MIN(IF(ISNUMBER(FIND(단어표[포함단어],표3[[#This Row],[내용]])),ROW(단어표[포함단어])-ROW(포함단어시작셀)+1,ROWS(단어표[포함단어])+1))),"")</f>
        <v>기타식료품</v>
      </c>
      <c r="I294" s="23" t="str">
        <f>VLOOKUP(H294,분류표[],2,0)</f>
        <v>식비</v>
      </c>
      <c r="J294" s="24">
        <f t="shared" si="8"/>
        <v>44651</v>
      </c>
      <c r="K294" s="23">
        <f t="shared" si="9"/>
        <v>9</v>
      </c>
    </row>
    <row r="295" spans="1:11">
      <c r="A295" s="21">
        <v>44651</v>
      </c>
      <c r="B295" s="20" t="s">
        <v>170</v>
      </c>
      <c r="C295" s="20" t="s">
        <v>527</v>
      </c>
      <c r="D295" s="22">
        <v>3100</v>
      </c>
      <c r="E295" s="22"/>
      <c r="F295" s="20" t="s">
        <v>456</v>
      </c>
      <c r="G295" s="22">
        <v>1272700</v>
      </c>
      <c r="H295" s="23" t="str" cm="1">
        <f t="array" ref="H295">IFERROR(INDEX(단어표[분류],MIN(IF(ISNUMBER(FIND(단어표[포함단어],표3[[#This Row],[내용]])),ROW(단어표[포함단어])-ROW(포함단어시작셀)+1,ROWS(단어표[포함단어])+1))),"")</f>
        <v>간식</v>
      </c>
      <c r="I295" s="23" t="str">
        <f>VLOOKUP(H295,분류표[],2,0)</f>
        <v>식비</v>
      </c>
      <c r="J295" s="24">
        <f t="shared" si="8"/>
        <v>44651</v>
      </c>
      <c r="K295" s="23">
        <f t="shared" si="9"/>
        <v>9</v>
      </c>
    </row>
    <row r="296" spans="1:11">
      <c r="A296" s="21">
        <v>44652</v>
      </c>
      <c r="B296" s="20" t="s">
        <v>169</v>
      </c>
      <c r="C296" s="20" t="s">
        <v>527</v>
      </c>
      <c r="D296" s="22">
        <v>38900</v>
      </c>
      <c r="E296" s="22"/>
      <c r="F296" s="20" t="s">
        <v>450</v>
      </c>
      <c r="G296" s="22">
        <v>1233800</v>
      </c>
      <c r="H296" s="23" t="str" cm="1">
        <f t="array" ref="H296">IFERROR(INDEX(단어표[분류],MIN(IF(ISNUMBER(FIND(단어표[포함단어],표3[[#This Row],[내용]])),ROW(단어표[포함단어])-ROW(포함단어시작셀)+1,ROWS(단어표[포함단어])+1))),"")</f>
        <v>기타생활비</v>
      </c>
      <c r="I296" s="23" t="str">
        <f>VLOOKUP(H296,분류표[],2,0)</f>
        <v>생활비</v>
      </c>
      <c r="J296" s="24">
        <f t="shared" si="8"/>
        <v>44652</v>
      </c>
      <c r="K296" s="23">
        <f t="shared" si="9"/>
        <v>17</v>
      </c>
    </row>
    <row r="297" spans="1:11">
      <c r="A297" s="21">
        <v>44652</v>
      </c>
      <c r="B297" s="20" t="s">
        <v>168</v>
      </c>
      <c r="C297" s="20" t="s">
        <v>527</v>
      </c>
      <c r="D297" s="22">
        <v>11200</v>
      </c>
      <c r="E297" s="22"/>
      <c r="F297" s="20" t="s">
        <v>48</v>
      </c>
      <c r="G297" s="22">
        <v>1222600</v>
      </c>
      <c r="H297" s="23" t="str" cm="1">
        <f t="array" ref="H297">IFERROR(INDEX(단어표[분류],MIN(IF(ISNUMBER(FIND(단어표[포함단어],표3[[#This Row],[내용]])),ROW(단어표[포함단어])-ROW(포함단어시작셀)+1,ROWS(단어표[포함단어])+1))),"")</f>
        <v>커피</v>
      </c>
      <c r="I297" s="23" t="str">
        <f>VLOOKUP(H297,분류표[],2,0)</f>
        <v>식비</v>
      </c>
      <c r="J297" s="24">
        <f t="shared" si="8"/>
        <v>44652</v>
      </c>
      <c r="K297" s="23">
        <f t="shared" si="9"/>
        <v>18</v>
      </c>
    </row>
    <row r="298" spans="1:11">
      <c r="A298" s="21">
        <v>44652</v>
      </c>
      <c r="B298" s="20" t="s">
        <v>167</v>
      </c>
      <c r="C298" s="20" t="s">
        <v>529</v>
      </c>
      <c r="D298" s="22">
        <v>11900</v>
      </c>
      <c r="E298" s="22"/>
      <c r="F298" s="20" t="s">
        <v>451</v>
      </c>
      <c r="G298" s="22">
        <v>1210700</v>
      </c>
      <c r="H298" s="23" t="str" cm="1">
        <f t="array" ref="H298">IFERROR(INDEX(단어표[분류],MIN(IF(ISNUMBER(FIND(단어표[포함단어],표3[[#This Row],[내용]])),ROW(단어표[포함단어])-ROW(포함단어시작셀)+1,ROWS(단어표[포함단어])+1))),"")</f>
        <v>생활용품</v>
      </c>
      <c r="I298" s="23" t="str">
        <f>VLOOKUP(H298,분류표[],2,0)</f>
        <v>생활비</v>
      </c>
      <c r="J298" s="24">
        <f t="shared" si="8"/>
        <v>44652</v>
      </c>
      <c r="K298" s="23">
        <f t="shared" si="9"/>
        <v>21</v>
      </c>
    </row>
    <row r="299" spans="1:11">
      <c r="A299" s="21">
        <v>44652</v>
      </c>
      <c r="B299" s="20" t="s">
        <v>166</v>
      </c>
      <c r="C299" s="20" t="s">
        <v>527</v>
      </c>
      <c r="D299" s="22">
        <v>7600</v>
      </c>
      <c r="E299" s="22"/>
      <c r="F299" s="20" t="s">
        <v>504</v>
      </c>
      <c r="G299" s="22">
        <v>1203100</v>
      </c>
      <c r="H299" s="23" t="str" cm="1">
        <f t="array" ref="H299">IFERROR(INDEX(단어표[분류],MIN(IF(ISNUMBER(FIND(단어표[포함단어],표3[[#This Row],[내용]])),ROW(단어표[포함단어])-ROW(포함단어시작셀)+1,ROWS(단어표[포함단어])+1))),"")</f>
        <v>커피</v>
      </c>
      <c r="I299" s="23" t="str">
        <f>VLOOKUP(H299,분류표[],2,0)</f>
        <v>식비</v>
      </c>
      <c r="J299" s="24">
        <f t="shared" si="8"/>
        <v>44652</v>
      </c>
      <c r="K299" s="23">
        <f t="shared" si="9"/>
        <v>21</v>
      </c>
    </row>
    <row r="300" spans="1:11">
      <c r="A300" s="21">
        <v>44653</v>
      </c>
      <c r="B300" s="20" t="s">
        <v>165</v>
      </c>
      <c r="C300" s="20" t="s">
        <v>527</v>
      </c>
      <c r="D300" s="22">
        <v>5500</v>
      </c>
      <c r="E300" s="22"/>
      <c r="F300" s="20" t="s">
        <v>493</v>
      </c>
      <c r="G300" s="22">
        <v>1197600</v>
      </c>
      <c r="H300" s="23" t="str" cm="1">
        <f t="array" ref="H300">IFERROR(INDEX(단어표[분류],MIN(IF(ISNUMBER(FIND(단어표[포함단어],표3[[#This Row],[내용]])),ROW(단어표[포함단어])-ROW(포함단어시작셀)+1,ROWS(단어표[포함단어])+1))),"")</f>
        <v>커피</v>
      </c>
      <c r="I300" s="23" t="str">
        <f>VLOOKUP(H300,분류표[],2,0)</f>
        <v>식비</v>
      </c>
      <c r="J300" s="24">
        <f t="shared" si="8"/>
        <v>44653</v>
      </c>
      <c r="K300" s="23">
        <f t="shared" si="9"/>
        <v>18</v>
      </c>
    </row>
    <row r="301" spans="1:11">
      <c r="A301" s="21">
        <v>44654</v>
      </c>
      <c r="B301" s="20" t="s">
        <v>163</v>
      </c>
      <c r="C301" s="20" t="s">
        <v>529</v>
      </c>
      <c r="D301" s="22">
        <v>1200</v>
      </c>
      <c r="E301" s="22"/>
      <c r="F301" s="20" t="s">
        <v>451</v>
      </c>
      <c r="G301" s="22">
        <v>1196400</v>
      </c>
      <c r="H301" s="23" t="str" cm="1">
        <f t="array" ref="H301">IFERROR(INDEX(단어표[분류],MIN(IF(ISNUMBER(FIND(단어표[포함단어],표3[[#This Row],[내용]])),ROW(단어표[포함단어])-ROW(포함단어시작셀)+1,ROWS(단어표[포함단어])+1))),"")</f>
        <v>생활용품</v>
      </c>
      <c r="I301" s="23" t="str">
        <f>VLOOKUP(H301,분류표[],2,0)</f>
        <v>생활비</v>
      </c>
      <c r="J301" s="24">
        <f t="shared" si="8"/>
        <v>44654</v>
      </c>
      <c r="K301" s="23">
        <f t="shared" si="9"/>
        <v>14</v>
      </c>
    </row>
    <row r="302" spans="1:11">
      <c r="A302" s="21">
        <v>44654</v>
      </c>
      <c r="B302" s="20" t="s">
        <v>89</v>
      </c>
      <c r="C302" s="20" t="s">
        <v>527</v>
      </c>
      <c r="D302" s="22">
        <v>4600</v>
      </c>
      <c r="E302" s="22"/>
      <c r="F302" s="20" t="s">
        <v>31</v>
      </c>
      <c r="G302" s="22">
        <v>1191800</v>
      </c>
      <c r="H302" s="23" t="str" cm="1">
        <f t="array" ref="H302">IFERROR(INDEX(단어표[분류],MIN(IF(ISNUMBER(FIND(단어표[포함단어],표3[[#This Row],[내용]])),ROW(단어표[포함단어])-ROW(포함단어시작셀)+1,ROWS(단어표[포함단어])+1))),"")</f>
        <v>구독서비스</v>
      </c>
      <c r="I302" s="23" t="str">
        <f>VLOOKUP(H302,분류표[],2,0)</f>
        <v>생활비</v>
      </c>
      <c r="J302" s="24">
        <f t="shared" si="8"/>
        <v>44654</v>
      </c>
      <c r="K302" s="23">
        <f t="shared" si="9"/>
        <v>14</v>
      </c>
    </row>
    <row r="303" spans="1:11">
      <c r="A303" s="21">
        <v>44654</v>
      </c>
      <c r="B303" s="20" t="s">
        <v>162</v>
      </c>
      <c r="C303" s="20" t="s">
        <v>527</v>
      </c>
      <c r="D303" s="22">
        <v>3900</v>
      </c>
      <c r="E303" s="22"/>
      <c r="F303" s="20" t="s">
        <v>474</v>
      </c>
      <c r="G303" s="22">
        <v>1187900</v>
      </c>
      <c r="H303" s="23" t="str" cm="1">
        <f t="array" ref="H303">IFERROR(INDEX(단어표[분류],MIN(IF(ISNUMBER(FIND(단어표[포함단어],표3[[#This Row],[내용]])),ROW(단어표[포함단어])-ROW(포함단어시작셀)+1,ROWS(단어표[포함단어])+1))),"")</f>
        <v>생활용품</v>
      </c>
      <c r="I303" s="23" t="str">
        <f>VLOOKUP(H303,분류표[],2,0)</f>
        <v>생활비</v>
      </c>
      <c r="J303" s="24">
        <f t="shared" si="8"/>
        <v>44654</v>
      </c>
      <c r="K303" s="23">
        <f t="shared" si="9"/>
        <v>16</v>
      </c>
    </row>
    <row r="304" spans="1:11">
      <c r="A304" s="21">
        <v>44654</v>
      </c>
      <c r="B304" s="20" t="s">
        <v>161</v>
      </c>
      <c r="C304" s="20" t="s">
        <v>527</v>
      </c>
      <c r="D304" s="22">
        <v>3100</v>
      </c>
      <c r="E304" s="22"/>
      <c r="F304" s="20" t="s">
        <v>492</v>
      </c>
      <c r="G304" s="22">
        <v>1184800</v>
      </c>
      <c r="H304" s="23" t="str" cm="1">
        <f t="array" ref="H304">IFERROR(INDEX(단어표[분류],MIN(IF(ISNUMBER(FIND(단어표[포함단어],표3[[#This Row],[내용]])),ROW(단어표[포함단어])-ROW(포함단어시작셀)+1,ROWS(단어표[포함단어])+1))),"")</f>
        <v>기타식료품</v>
      </c>
      <c r="I304" s="23" t="str">
        <f>VLOOKUP(H304,분류표[],2,0)</f>
        <v>식비</v>
      </c>
      <c r="J304" s="24">
        <f t="shared" si="8"/>
        <v>44654</v>
      </c>
      <c r="K304" s="23">
        <f t="shared" si="9"/>
        <v>17</v>
      </c>
    </row>
    <row r="305" spans="1:11">
      <c r="A305" s="21">
        <v>44654</v>
      </c>
      <c r="B305" s="20" t="s">
        <v>160</v>
      </c>
      <c r="C305" s="20" t="s">
        <v>527</v>
      </c>
      <c r="D305" s="22">
        <v>2400</v>
      </c>
      <c r="E305" s="22"/>
      <c r="F305" s="20" t="s">
        <v>496</v>
      </c>
      <c r="G305" s="22">
        <v>1182400</v>
      </c>
      <c r="H305" s="23" t="str" cm="1">
        <f t="array" ref="H305">IFERROR(INDEX(단어표[분류],MIN(IF(ISNUMBER(FIND(단어표[포함단어],표3[[#This Row],[내용]])),ROW(단어표[포함단어])-ROW(포함단어시작셀)+1,ROWS(단어표[포함단어])+1))),"")</f>
        <v>기타생활비</v>
      </c>
      <c r="I305" s="23" t="str">
        <f>VLOOKUP(H305,분류표[],2,0)</f>
        <v>생활비</v>
      </c>
      <c r="J305" s="24">
        <f t="shared" si="8"/>
        <v>44654</v>
      </c>
      <c r="K305" s="23">
        <f t="shared" si="9"/>
        <v>17</v>
      </c>
    </row>
    <row r="306" spans="1:11">
      <c r="A306" s="21">
        <v>44655</v>
      </c>
      <c r="B306" s="20" t="s">
        <v>437</v>
      </c>
      <c r="C306" s="20" t="s">
        <v>642</v>
      </c>
      <c r="D306" s="22"/>
      <c r="E306" s="22">
        <v>366860</v>
      </c>
      <c r="F306" s="20" t="s">
        <v>643</v>
      </c>
      <c r="G306" s="22">
        <v>1549260</v>
      </c>
      <c r="H306" s="23" t="str" cm="1">
        <f t="array" ref="H306">IFERROR(INDEX(단어표[분류],MIN(IF(ISNUMBER(FIND(단어표[포함단어],표3[[#This Row],[내용]])),ROW(단어표[포함단어])-ROW(포함단어시작셀)+1,ROWS(단어표[포함단어])+1))),"")</f>
        <v>금융이익</v>
      </c>
      <c r="I306" s="23" t="str">
        <f>VLOOKUP(H306,분류표[],2,0)</f>
        <v>수입</v>
      </c>
      <c r="J306" s="24">
        <f t="shared" si="8"/>
        <v>44655</v>
      </c>
      <c r="K306" s="23">
        <f t="shared" si="9"/>
        <v>0</v>
      </c>
    </row>
    <row r="307" spans="1:11">
      <c r="A307" s="21">
        <v>44655</v>
      </c>
      <c r="B307" s="20" t="s">
        <v>159</v>
      </c>
      <c r="C307" s="20" t="s">
        <v>527</v>
      </c>
      <c r="D307" s="22">
        <v>6400</v>
      </c>
      <c r="E307" s="22"/>
      <c r="F307" s="20" t="s">
        <v>448</v>
      </c>
      <c r="G307" s="22">
        <v>1542860</v>
      </c>
      <c r="H307" s="23" t="str" cm="1">
        <f t="array" ref="H307">IFERROR(INDEX(단어표[분류],MIN(IF(ISNUMBER(FIND(단어표[포함단어],표3[[#This Row],[내용]])),ROW(단어표[포함단어])-ROW(포함단어시작셀)+1,ROWS(단어표[포함단어])+1))),"")</f>
        <v>주식</v>
      </c>
      <c r="I307" s="23" t="str">
        <f>VLOOKUP(H307,분류표[],2,0)</f>
        <v>식비</v>
      </c>
      <c r="J307" s="24">
        <f t="shared" si="8"/>
        <v>44655</v>
      </c>
      <c r="K307" s="23">
        <f t="shared" si="9"/>
        <v>19</v>
      </c>
    </row>
    <row r="308" spans="1:11">
      <c r="A308" s="21">
        <v>44656</v>
      </c>
      <c r="B308" s="20" t="s">
        <v>158</v>
      </c>
      <c r="C308" s="20" t="s">
        <v>527</v>
      </c>
      <c r="D308" s="22">
        <v>5700</v>
      </c>
      <c r="E308" s="22"/>
      <c r="F308" s="20" t="s">
        <v>458</v>
      </c>
      <c r="G308" s="22">
        <v>1537160</v>
      </c>
      <c r="H308" s="23" t="str" cm="1">
        <f t="array" ref="H308">IFERROR(INDEX(단어표[분류],MIN(IF(ISNUMBER(FIND(단어표[포함단어],표3[[#This Row],[내용]])),ROW(단어표[포함단어])-ROW(포함단어시작셀)+1,ROWS(단어표[포함단어])+1))),"")</f>
        <v>교통비</v>
      </c>
      <c r="I308" s="23" t="str">
        <f>VLOOKUP(H308,분류표[],2,0)</f>
        <v>교통비</v>
      </c>
      <c r="J308" s="24">
        <f t="shared" si="8"/>
        <v>44656</v>
      </c>
      <c r="K308" s="23">
        <f t="shared" si="9"/>
        <v>18</v>
      </c>
    </row>
    <row r="309" spans="1:11">
      <c r="A309" s="21">
        <v>44657</v>
      </c>
      <c r="B309" s="20" t="s">
        <v>157</v>
      </c>
      <c r="C309" s="20" t="s">
        <v>527</v>
      </c>
      <c r="D309" s="22">
        <v>9100</v>
      </c>
      <c r="E309" s="22"/>
      <c r="F309" s="20" t="s">
        <v>492</v>
      </c>
      <c r="G309" s="22">
        <v>1528060</v>
      </c>
      <c r="H309" s="23" t="str" cm="1">
        <f t="array" ref="H309">IFERROR(INDEX(단어표[분류],MIN(IF(ISNUMBER(FIND(단어표[포함단어],표3[[#This Row],[내용]])),ROW(단어표[포함단어])-ROW(포함단어시작셀)+1,ROWS(단어표[포함단어])+1))),"")</f>
        <v>기타식료품</v>
      </c>
      <c r="I309" s="23" t="str">
        <f>VLOOKUP(H309,분류표[],2,0)</f>
        <v>식비</v>
      </c>
      <c r="J309" s="24">
        <f t="shared" si="8"/>
        <v>44657</v>
      </c>
      <c r="K309" s="23">
        <f t="shared" si="9"/>
        <v>17</v>
      </c>
    </row>
    <row r="310" spans="1:11">
      <c r="A310" s="21">
        <v>44658</v>
      </c>
      <c r="B310" s="20" t="s">
        <v>156</v>
      </c>
      <c r="C310" s="20" t="s">
        <v>527</v>
      </c>
      <c r="D310" s="22">
        <v>13000</v>
      </c>
      <c r="E310" s="22"/>
      <c r="F310" s="20" t="s">
        <v>466</v>
      </c>
      <c r="G310" s="22">
        <v>1515060</v>
      </c>
      <c r="H310" s="23" t="str" cm="1">
        <f t="array" ref="H310">IFERROR(INDEX(단어표[분류],MIN(IF(ISNUMBER(FIND(단어표[포함단어],표3[[#This Row],[내용]])),ROW(단어표[포함단어])-ROW(포함단어시작셀)+1,ROWS(단어표[포함단어])+1))),"")</f>
        <v>주식</v>
      </c>
      <c r="I310" s="23" t="str">
        <f>VLOOKUP(H310,분류표[],2,0)</f>
        <v>식비</v>
      </c>
      <c r="J310" s="24">
        <f t="shared" si="8"/>
        <v>44658</v>
      </c>
      <c r="K310" s="23">
        <f t="shared" si="9"/>
        <v>15</v>
      </c>
    </row>
    <row r="311" spans="1:11">
      <c r="A311" s="21">
        <v>44658</v>
      </c>
      <c r="B311" s="20" t="s">
        <v>155</v>
      </c>
      <c r="C311" s="20" t="s">
        <v>527</v>
      </c>
      <c r="D311" s="22">
        <v>4700</v>
      </c>
      <c r="E311" s="22"/>
      <c r="F311" s="20" t="s">
        <v>493</v>
      </c>
      <c r="G311" s="22">
        <v>1510360</v>
      </c>
      <c r="H311" s="23" t="str" cm="1">
        <f t="array" ref="H311">IFERROR(INDEX(단어표[분류],MIN(IF(ISNUMBER(FIND(단어표[포함단어],표3[[#This Row],[내용]])),ROW(단어표[포함단어])-ROW(포함단어시작셀)+1,ROWS(단어표[포함단어])+1))),"")</f>
        <v>커피</v>
      </c>
      <c r="I311" s="23" t="str">
        <f>VLOOKUP(H311,분류표[],2,0)</f>
        <v>식비</v>
      </c>
      <c r="J311" s="24">
        <f t="shared" si="8"/>
        <v>44658</v>
      </c>
      <c r="K311" s="23">
        <f t="shared" si="9"/>
        <v>16</v>
      </c>
    </row>
    <row r="312" spans="1:11">
      <c r="A312" s="21">
        <v>44659</v>
      </c>
      <c r="B312" s="20" t="s">
        <v>71</v>
      </c>
      <c r="C312" s="20" t="s">
        <v>527</v>
      </c>
      <c r="D312" s="22">
        <v>10300</v>
      </c>
      <c r="E312" s="22"/>
      <c r="F312" s="20" t="s">
        <v>31</v>
      </c>
      <c r="G312" s="22">
        <v>1500060</v>
      </c>
      <c r="H312" s="23" t="str" cm="1">
        <f t="array" ref="H312">IFERROR(INDEX(단어표[분류],MIN(IF(ISNUMBER(FIND(단어표[포함단어],표3[[#This Row],[내용]])),ROW(단어표[포함단어])-ROW(포함단어시작셀)+1,ROWS(단어표[포함단어])+1))),"")</f>
        <v>구독서비스</v>
      </c>
      <c r="I312" s="23" t="str">
        <f>VLOOKUP(H312,분류표[],2,0)</f>
        <v>생활비</v>
      </c>
      <c r="J312" s="24">
        <f t="shared" si="8"/>
        <v>44659</v>
      </c>
      <c r="K312" s="23">
        <f t="shared" si="9"/>
        <v>7</v>
      </c>
    </row>
    <row r="313" spans="1:11">
      <c r="A313" s="21">
        <v>44659</v>
      </c>
      <c r="B313" s="20" t="s">
        <v>154</v>
      </c>
      <c r="C313" s="20" t="s">
        <v>460</v>
      </c>
      <c r="D313" s="22">
        <v>230000</v>
      </c>
      <c r="E313" s="22"/>
      <c r="F313" s="20" t="s">
        <v>481</v>
      </c>
      <c r="G313" s="22">
        <v>1270060</v>
      </c>
      <c r="H313" s="23" t="str" cm="1">
        <f t="array" ref="H313">IFERROR(INDEX(단어표[분류],MIN(IF(ISNUMBER(FIND(단어표[포함단어],표3[[#This Row],[내용]])),ROW(단어표[포함단어])-ROW(포함단어시작셀)+1,ROWS(단어표[포함단어])+1))),"")</f>
        <v>학원비</v>
      </c>
      <c r="I313" s="23" t="str">
        <f>VLOOKUP(H313,분류표[],2,0)</f>
        <v>교육비</v>
      </c>
      <c r="J313" s="24">
        <f t="shared" si="8"/>
        <v>44659</v>
      </c>
      <c r="K313" s="23">
        <f t="shared" si="9"/>
        <v>11</v>
      </c>
    </row>
    <row r="314" spans="1:11">
      <c r="A314" s="21">
        <v>44659</v>
      </c>
      <c r="B314" s="20" t="s">
        <v>153</v>
      </c>
      <c r="C314" s="20" t="s">
        <v>527</v>
      </c>
      <c r="D314" s="22">
        <v>6400</v>
      </c>
      <c r="E314" s="22"/>
      <c r="F314" s="20" t="s">
        <v>13</v>
      </c>
      <c r="G314" s="22">
        <v>1263660</v>
      </c>
      <c r="H314" s="23" t="str" cm="1">
        <f t="array" ref="H314">IFERROR(INDEX(단어표[분류],MIN(IF(ISNUMBER(FIND(단어표[포함단어],표3[[#This Row],[내용]])),ROW(단어표[포함단어])-ROW(포함단어시작셀)+1,ROWS(단어표[포함단어])+1))),"")</f>
        <v>생활용품</v>
      </c>
      <c r="I314" s="23" t="str">
        <f>VLOOKUP(H314,분류표[],2,0)</f>
        <v>생활비</v>
      </c>
      <c r="J314" s="24">
        <f t="shared" si="8"/>
        <v>44659</v>
      </c>
      <c r="K314" s="23">
        <f t="shared" si="9"/>
        <v>17</v>
      </c>
    </row>
    <row r="315" spans="1:11">
      <c r="A315" s="21">
        <v>44659</v>
      </c>
      <c r="B315" s="20" t="s">
        <v>152</v>
      </c>
      <c r="C315" s="20" t="s">
        <v>527</v>
      </c>
      <c r="D315" s="22">
        <v>4100</v>
      </c>
      <c r="E315" s="22"/>
      <c r="F315" s="20" t="s">
        <v>493</v>
      </c>
      <c r="G315" s="22">
        <v>1259560</v>
      </c>
      <c r="H315" s="23" t="str" cm="1">
        <f t="array" ref="H315">IFERROR(INDEX(단어표[분류],MIN(IF(ISNUMBER(FIND(단어표[포함단어],표3[[#This Row],[내용]])),ROW(단어표[포함단어])-ROW(포함단어시작셀)+1,ROWS(단어표[포함단어])+1))),"")</f>
        <v>커피</v>
      </c>
      <c r="I315" s="23" t="str">
        <f>VLOOKUP(H315,분류표[],2,0)</f>
        <v>식비</v>
      </c>
      <c r="J315" s="24">
        <f t="shared" si="8"/>
        <v>44659</v>
      </c>
      <c r="K315" s="23">
        <f t="shared" si="9"/>
        <v>17</v>
      </c>
    </row>
    <row r="316" spans="1:11">
      <c r="A316" s="21">
        <v>44660</v>
      </c>
      <c r="B316" s="20" t="s">
        <v>151</v>
      </c>
      <c r="C316" s="20" t="s">
        <v>527</v>
      </c>
      <c r="D316" s="22">
        <v>4100</v>
      </c>
      <c r="E316" s="22"/>
      <c r="F316" s="20" t="s">
        <v>493</v>
      </c>
      <c r="G316" s="22">
        <v>1255460</v>
      </c>
      <c r="H316" s="23" t="str" cm="1">
        <f t="array" ref="H316">IFERROR(INDEX(단어표[분류],MIN(IF(ISNUMBER(FIND(단어표[포함단어],표3[[#This Row],[내용]])),ROW(단어표[포함단어])-ROW(포함단어시작셀)+1,ROWS(단어표[포함단어])+1))),"")</f>
        <v>커피</v>
      </c>
      <c r="I316" s="23" t="str">
        <f>VLOOKUP(H316,분류표[],2,0)</f>
        <v>식비</v>
      </c>
      <c r="J316" s="24">
        <f t="shared" si="8"/>
        <v>44660</v>
      </c>
      <c r="K316" s="23">
        <f t="shared" si="9"/>
        <v>17</v>
      </c>
    </row>
    <row r="317" spans="1:11">
      <c r="A317" s="21">
        <v>44660</v>
      </c>
      <c r="B317" s="20" t="s">
        <v>150</v>
      </c>
      <c r="C317" s="20" t="s">
        <v>527</v>
      </c>
      <c r="D317" s="22">
        <v>18400</v>
      </c>
      <c r="E317" s="22"/>
      <c r="F317" s="20" t="s">
        <v>13</v>
      </c>
      <c r="G317" s="22">
        <v>1237060</v>
      </c>
      <c r="H317" s="23" t="str" cm="1">
        <f t="array" ref="H317">IFERROR(INDEX(단어표[분류],MIN(IF(ISNUMBER(FIND(단어표[포함단어],표3[[#This Row],[내용]])),ROW(단어표[포함단어])-ROW(포함단어시작셀)+1,ROWS(단어표[포함단어])+1))),"")</f>
        <v>생활용품</v>
      </c>
      <c r="I317" s="23" t="str">
        <f>VLOOKUP(H317,분류표[],2,0)</f>
        <v>생활비</v>
      </c>
      <c r="J317" s="24">
        <f t="shared" si="8"/>
        <v>44660</v>
      </c>
      <c r="K317" s="23">
        <f t="shared" si="9"/>
        <v>17</v>
      </c>
    </row>
    <row r="318" spans="1:11">
      <c r="A318" s="21">
        <v>44661</v>
      </c>
      <c r="B318" s="20" t="s">
        <v>66</v>
      </c>
      <c r="C318" s="20" t="s">
        <v>527</v>
      </c>
      <c r="D318" s="22">
        <v>2200</v>
      </c>
      <c r="E318" s="22"/>
      <c r="F318" s="20" t="s">
        <v>31</v>
      </c>
      <c r="G318" s="22">
        <v>1234860</v>
      </c>
      <c r="H318" s="23" t="str" cm="1">
        <f t="array" ref="H318">IFERROR(INDEX(단어표[분류],MIN(IF(ISNUMBER(FIND(단어표[포함단어],표3[[#This Row],[내용]])),ROW(단어표[포함단어])-ROW(포함단어시작셀)+1,ROWS(단어표[포함단어])+1))),"")</f>
        <v>구독서비스</v>
      </c>
      <c r="I318" s="23" t="str">
        <f>VLOOKUP(H318,분류표[],2,0)</f>
        <v>생활비</v>
      </c>
      <c r="J318" s="24">
        <f t="shared" si="8"/>
        <v>44661</v>
      </c>
      <c r="K318" s="23">
        <f t="shared" si="9"/>
        <v>0</v>
      </c>
    </row>
    <row r="319" spans="1:11">
      <c r="A319" s="21">
        <v>44661</v>
      </c>
      <c r="B319" s="20" t="s">
        <v>149</v>
      </c>
      <c r="C319" s="20" t="s">
        <v>460</v>
      </c>
      <c r="D319" s="22">
        <v>73500</v>
      </c>
      <c r="E319" s="22"/>
      <c r="F319" s="20" t="s">
        <v>517</v>
      </c>
      <c r="G319" s="22">
        <v>1161360</v>
      </c>
      <c r="H319" s="23" t="str" cm="1">
        <f t="array" ref="H319">IFERROR(INDEX(단어표[분류],MIN(IF(ISNUMBER(FIND(단어표[포함단어],표3[[#This Row],[내용]])),ROW(단어표[포함단어])-ROW(포함단어시작셀)+1,ROWS(단어표[포함단어])+1))),"")</f>
        <v>휴대폰</v>
      </c>
      <c r="I319" s="23" t="str">
        <f>VLOOKUP(H319,분류표[],2,0)</f>
        <v>통신비</v>
      </c>
      <c r="J319" s="24">
        <f t="shared" si="8"/>
        <v>44661</v>
      </c>
      <c r="K319" s="23">
        <f t="shared" si="9"/>
        <v>15</v>
      </c>
    </row>
    <row r="320" spans="1:11">
      <c r="A320" s="21">
        <v>44661</v>
      </c>
      <c r="B320" s="20" t="s">
        <v>148</v>
      </c>
      <c r="C320" s="20" t="s">
        <v>527</v>
      </c>
      <c r="D320" s="22">
        <v>47900</v>
      </c>
      <c r="E320" s="22"/>
      <c r="F320" s="20" t="s">
        <v>521</v>
      </c>
      <c r="G320" s="22">
        <v>1113460</v>
      </c>
      <c r="H320" s="23" t="str" cm="1">
        <f t="array" ref="H320">IFERROR(INDEX(단어표[분류],MIN(IF(ISNUMBER(FIND(단어표[포함단어],표3[[#This Row],[내용]])),ROW(단어표[포함단어])-ROW(포함단어시작셀)+1,ROWS(단어표[포함단어])+1))),"")</f>
        <v>간식</v>
      </c>
      <c r="I320" s="23" t="str">
        <f>VLOOKUP(H320,분류표[],2,0)</f>
        <v>식비</v>
      </c>
      <c r="J320" s="24">
        <f t="shared" si="8"/>
        <v>44661</v>
      </c>
      <c r="K320" s="23">
        <f t="shared" si="9"/>
        <v>16</v>
      </c>
    </row>
    <row r="321" spans="1:11">
      <c r="A321" s="21">
        <v>44661</v>
      </c>
      <c r="B321" s="20" t="s">
        <v>147</v>
      </c>
      <c r="C321" s="20" t="s">
        <v>527</v>
      </c>
      <c r="D321" s="22">
        <v>5300</v>
      </c>
      <c r="E321" s="22"/>
      <c r="F321" s="20" t="s">
        <v>468</v>
      </c>
      <c r="G321" s="22">
        <v>1108160</v>
      </c>
      <c r="H321" s="23" t="str" cm="1">
        <f t="array" ref="H321">IFERROR(INDEX(단어표[분류],MIN(IF(ISNUMBER(FIND(단어표[포함단어],표3[[#This Row],[내용]])),ROW(단어표[포함단어])-ROW(포함단어시작셀)+1,ROWS(단어표[포함단어])+1))),"")</f>
        <v>교통비</v>
      </c>
      <c r="I321" s="23" t="str">
        <f>VLOOKUP(H321,분류표[],2,0)</f>
        <v>교통비</v>
      </c>
      <c r="J321" s="24">
        <f t="shared" si="8"/>
        <v>44661</v>
      </c>
      <c r="K321" s="23">
        <f t="shared" si="9"/>
        <v>17</v>
      </c>
    </row>
    <row r="322" spans="1:11">
      <c r="A322" s="21">
        <v>44662</v>
      </c>
      <c r="B322" s="20" t="s">
        <v>146</v>
      </c>
      <c r="C322" s="20" t="s">
        <v>527</v>
      </c>
      <c r="D322" s="22">
        <v>4600</v>
      </c>
      <c r="E322" s="22"/>
      <c r="F322" s="20" t="s">
        <v>13</v>
      </c>
      <c r="G322" s="22">
        <v>1103560</v>
      </c>
      <c r="H322" s="23" t="str" cm="1">
        <f t="array" ref="H322">IFERROR(INDEX(단어표[분류],MIN(IF(ISNUMBER(FIND(단어표[포함단어],표3[[#This Row],[내용]])),ROW(단어표[포함단어])-ROW(포함단어시작셀)+1,ROWS(단어표[포함단어])+1))),"")</f>
        <v>생활용품</v>
      </c>
      <c r="I322" s="23" t="str">
        <f>VLOOKUP(H322,분류표[],2,0)</f>
        <v>생활비</v>
      </c>
      <c r="J322" s="24">
        <f t="shared" si="8"/>
        <v>44662</v>
      </c>
      <c r="K322" s="23">
        <f t="shared" si="9"/>
        <v>12</v>
      </c>
    </row>
    <row r="323" spans="1:11">
      <c r="A323" s="21">
        <v>44662</v>
      </c>
      <c r="B323" s="20" t="s">
        <v>145</v>
      </c>
      <c r="C323" s="20" t="s">
        <v>527</v>
      </c>
      <c r="D323" s="22">
        <v>4100</v>
      </c>
      <c r="E323" s="22"/>
      <c r="F323" s="20" t="s">
        <v>493</v>
      </c>
      <c r="G323" s="22">
        <v>1099460</v>
      </c>
      <c r="H323" s="23" t="str" cm="1">
        <f t="array" ref="H323">IFERROR(INDEX(단어표[분류],MIN(IF(ISNUMBER(FIND(단어표[포함단어],표3[[#This Row],[내용]])),ROW(단어표[포함단어])-ROW(포함단어시작셀)+1,ROWS(단어표[포함단어])+1))),"")</f>
        <v>커피</v>
      </c>
      <c r="I323" s="23" t="str">
        <f>VLOOKUP(H323,분류표[],2,0)</f>
        <v>식비</v>
      </c>
      <c r="J323" s="24">
        <f t="shared" si="8"/>
        <v>44662</v>
      </c>
      <c r="K323" s="23">
        <f t="shared" si="9"/>
        <v>14</v>
      </c>
    </row>
    <row r="324" spans="1:11">
      <c r="A324" s="21">
        <v>44662</v>
      </c>
      <c r="B324" s="20" t="s">
        <v>144</v>
      </c>
      <c r="C324" s="20" t="s">
        <v>527</v>
      </c>
      <c r="D324" s="22">
        <v>3000</v>
      </c>
      <c r="E324" s="22"/>
      <c r="F324" s="20" t="s">
        <v>493</v>
      </c>
      <c r="G324" s="22">
        <v>1096460</v>
      </c>
      <c r="H324" s="23" t="str" cm="1">
        <f t="array" ref="H324">IFERROR(INDEX(단어표[분류],MIN(IF(ISNUMBER(FIND(단어표[포함단어],표3[[#This Row],[내용]])),ROW(단어표[포함단어])-ROW(포함단어시작셀)+1,ROWS(단어표[포함단어])+1))),"")</f>
        <v>커피</v>
      </c>
      <c r="I324" s="23" t="str">
        <f>VLOOKUP(H324,분류표[],2,0)</f>
        <v>식비</v>
      </c>
      <c r="J324" s="24">
        <f t="shared" si="8"/>
        <v>44662</v>
      </c>
      <c r="K324" s="23">
        <f t="shared" si="9"/>
        <v>15</v>
      </c>
    </row>
    <row r="325" spans="1:11">
      <c r="A325" s="21">
        <v>44663</v>
      </c>
      <c r="B325" s="20" t="s">
        <v>143</v>
      </c>
      <c r="C325" s="20" t="s">
        <v>527</v>
      </c>
      <c r="D325" s="22">
        <v>4700</v>
      </c>
      <c r="E325" s="22"/>
      <c r="F325" s="20" t="s">
        <v>493</v>
      </c>
      <c r="G325" s="22">
        <v>1091760</v>
      </c>
      <c r="H325" s="23" t="str" cm="1">
        <f t="array" ref="H325">IFERROR(INDEX(단어표[분류],MIN(IF(ISNUMBER(FIND(단어표[포함단어],표3[[#This Row],[내용]])),ROW(단어표[포함단어])-ROW(포함단어시작셀)+1,ROWS(단어표[포함단어])+1))),"")</f>
        <v>커피</v>
      </c>
      <c r="I325" s="23" t="str">
        <f>VLOOKUP(H325,분류표[],2,0)</f>
        <v>식비</v>
      </c>
      <c r="J325" s="24">
        <f t="shared" si="8"/>
        <v>44663</v>
      </c>
      <c r="K325" s="23">
        <f t="shared" si="9"/>
        <v>16</v>
      </c>
    </row>
    <row r="326" spans="1:11">
      <c r="A326" s="21">
        <v>44663</v>
      </c>
      <c r="B326" s="20" t="s">
        <v>142</v>
      </c>
      <c r="C326" s="20" t="s">
        <v>529</v>
      </c>
      <c r="D326" s="22">
        <v>8200</v>
      </c>
      <c r="E326" s="22"/>
      <c r="F326" s="20" t="s">
        <v>614</v>
      </c>
      <c r="G326" s="22">
        <v>1083560</v>
      </c>
      <c r="H326" s="23" t="str" cm="1">
        <f t="array" ref="H326">IFERROR(INDEX(단어표[분류],MIN(IF(ISNUMBER(FIND(단어표[포함단어],표3[[#This Row],[내용]])),ROW(단어표[포함단어])-ROW(포함단어시작셀)+1,ROWS(단어표[포함단어])+1))),"")</f>
        <v>주식</v>
      </c>
      <c r="I326" s="23" t="str">
        <f>VLOOKUP(H326,분류표[],2,0)</f>
        <v>식비</v>
      </c>
      <c r="J326" s="24">
        <f t="shared" si="8"/>
        <v>44663</v>
      </c>
      <c r="K326" s="23">
        <f t="shared" si="9"/>
        <v>18</v>
      </c>
    </row>
    <row r="327" spans="1:11">
      <c r="A327" s="21">
        <v>44664</v>
      </c>
      <c r="B327" s="20" t="s">
        <v>141</v>
      </c>
      <c r="C327" s="20" t="s">
        <v>527</v>
      </c>
      <c r="D327" s="22">
        <v>4100</v>
      </c>
      <c r="E327" s="22"/>
      <c r="F327" s="20" t="s">
        <v>493</v>
      </c>
      <c r="G327" s="22">
        <v>1079460</v>
      </c>
      <c r="H327" s="23" t="str" cm="1">
        <f t="array" ref="H327">IFERROR(INDEX(단어표[분류],MIN(IF(ISNUMBER(FIND(단어표[포함단어],표3[[#This Row],[내용]])),ROW(단어표[포함단어])-ROW(포함단어시작셀)+1,ROWS(단어표[포함단어])+1))),"")</f>
        <v>커피</v>
      </c>
      <c r="I327" s="23" t="str">
        <f>VLOOKUP(H327,분류표[],2,0)</f>
        <v>식비</v>
      </c>
      <c r="J327" s="24">
        <f t="shared" si="8"/>
        <v>44664</v>
      </c>
      <c r="K327" s="23">
        <f t="shared" si="9"/>
        <v>15</v>
      </c>
    </row>
    <row r="328" spans="1:11">
      <c r="A328" s="21">
        <v>44664</v>
      </c>
      <c r="B328" s="20" t="s">
        <v>140</v>
      </c>
      <c r="C328" s="20" t="s">
        <v>527</v>
      </c>
      <c r="D328" s="22">
        <v>4700</v>
      </c>
      <c r="E328" s="22"/>
      <c r="F328" s="20" t="s">
        <v>492</v>
      </c>
      <c r="G328" s="22">
        <v>1074760</v>
      </c>
      <c r="H328" s="23" t="str" cm="1">
        <f t="array" ref="H328">IFERROR(INDEX(단어표[분류],MIN(IF(ISNUMBER(FIND(단어표[포함단어],표3[[#This Row],[내용]])),ROW(단어표[포함단어])-ROW(포함단어시작셀)+1,ROWS(단어표[포함단어])+1))),"")</f>
        <v>기타식료품</v>
      </c>
      <c r="I328" s="23" t="str">
        <f>VLOOKUP(H328,분류표[],2,0)</f>
        <v>식비</v>
      </c>
      <c r="J328" s="24">
        <f t="shared" si="8"/>
        <v>44664</v>
      </c>
      <c r="K328" s="23">
        <f t="shared" si="9"/>
        <v>17</v>
      </c>
    </row>
    <row r="329" spans="1:11">
      <c r="A329" s="21">
        <v>44664</v>
      </c>
      <c r="B329" s="20" t="s">
        <v>139</v>
      </c>
      <c r="C329" s="20" t="s">
        <v>527</v>
      </c>
      <c r="D329" s="22">
        <v>2100</v>
      </c>
      <c r="E329" s="22"/>
      <c r="F329" s="20" t="s">
        <v>492</v>
      </c>
      <c r="G329" s="22">
        <v>1072660</v>
      </c>
      <c r="H329" s="23" t="str" cm="1">
        <f t="array" ref="H329">IFERROR(INDEX(단어표[분류],MIN(IF(ISNUMBER(FIND(단어표[포함단어],표3[[#This Row],[내용]])),ROW(단어표[포함단어])-ROW(포함단어시작셀)+1,ROWS(단어표[포함단어])+1))),"")</f>
        <v>기타식료품</v>
      </c>
      <c r="I329" s="23" t="str">
        <f>VLOOKUP(H329,분류표[],2,0)</f>
        <v>식비</v>
      </c>
      <c r="J329" s="24">
        <f t="shared" ref="J329:J375" si="10">A329</f>
        <v>44664</v>
      </c>
      <c r="K329" s="23">
        <f t="shared" ref="K329:K375" si="11">HOUR(B329)</f>
        <v>17</v>
      </c>
    </row>
    <row r="330" spans="1:11">
      <c r="A330" s="21">
        <v>44666</v>
      </c>
      <c r="B330" s="20" t="s">
        <v>138</v>
      </c>
      <c r="C330" s="20" t="s">
        <v>527</v>
      </c>
      <c r="D330" s="22">
        <v>12600</v>
      </c>
      <c r="E330" s="22"/>
      <c r="F330" s="20" t="s">
        <v>13</v>
      </c>
      <c r="G330" s="22">
        <v>1060060</v>
      </c>
      <c r="H330" s="23" t="str" cm="1">
        <f t="array" ref="H330">IFERROR(INDEX(단어표[분류],MIN(IF(ISNUMBER(FIND(단어표[포함단어],표3[[#This Row],[내용]])),ROW(단어표[포함단어])-ROW(포함단어시작셀)+1,ROWS(단어표[포함단어])+1))),"")</f>
        <v>생활용품</v>
      </c>
      <c r="I330" s="23" t="str">
        <f>VLOOKUP(H330,분류표[],2,0)</f>
        <v>생활비</v>
      </c>
      <c r="J330" s="24">
        <f t="shared" si="10"/>
        <v>44666</v>
      </c>
      <c r="K330" s="23">
        <f t="shared" si="11"/>
        <v>0</v>
      </c>
    </row>
    <row r="331" spans="1:11">
      <c r="A331" s="21">
        <v>44666</v>
      </c>
      <c r="B331" s="20" t="s">
        <v>137</v>
      </c>
      <c r="C331" s="20" t="s">
        <v>527</v>
      </c>
      <c r="D331" s="22">
        <v>10500</v>
      </c>
      <c r="E331" s="22"/>
      <c r="F331" s="20" t="s">
        <v>492</v>
      </c>
      <c r="G331" s="22">
        <v>1049560</v>
      </c>
      <c r="H331" s="23" t="str" cm="1">
        <f t="array" ref="H331">IFERROR(INDEX(단어표[분류],MIN(IF(ISNUMBER(FIND(단어표[포함단어],표3[[#This Row],[내용]])),ROW(단어표[포함단어])-ROW(포함단어시작셀)+1,ROWS(단어표[포함단어])+1))),"")</f>
        <v>기타식료품</v>
      </c>
      <c r="I331" s="23" t="str">
        <f>VLOOKUP(H331,분류표[],2,0)</f>
        <v>식비</v>
      </c>
      <c r="J331" s="24">
        <f t="shared" si="10"/>
        <v>44666</v>
      </c>
      <c r="K331" s="23">
        <f t="shared" si="11"/>
        <v>16</v>
      </c>
    </row>
    <row r="332" spans="1:11">
      <c r="A332" s="21">
        <v>44666</v>
      </c>
      <c r="B332" s="20" t="s">
        <v>136</v>
      </c>
      <c r="C332" s="20" t="s">
        <v>527</v>
      </c>
      <c r="D332" s="22">
        <v>41000</v>
      </c>
      <c r="E332" s="22"/>
      <c r="F332" s="20" t="s">
        <v>452</v>
      </c>
      <c r="G332" s="22">
        <v>1008560</v>
      </c>
      <c r="H332" s="23" t="str" cm="1">
        <f t="array" ref="H332">IFERROR(INDEX(단어표[분류],MIN(IF(ISNUMBER(FIND(단어표[포함단어],표3[[#This Row],[내용]])),ROW(단어표[포함단어])-ROW(포함단어시작셀)+1,ROWS(단어표[포함단어])+1))),"")</f>
        <v>선물</v>
      </c>
      <c r="I332" s="23" t="str">
        <f>VLOOKUP(H332,분류표[],2,0)</f>
        <v>경조사비</v>
      </c>
      <c r="J332" s="24">
        <f t="shared" si="10"/>
        <v>44666</v>
      </c>
      <c r="K332" s="23">
        <f t="shared" si="11"/>
        <v>16</v>
      </c>
    </row>
    <row r="333" spans="1:11">
      <c r="A333" s="21">
        <v>44666</v>
      </c>
      <c r="B333" s="20" t="s">
        <v>135</v>
      </c>
      <c r="C333" s="20" t="s">
        <v>527</v>
      </c>
      <c r="D333" s="22">
        <v>263600</v>
      </c>
      <c r="E333" s="22"/>
      <c r="F333" s="20" t="s">
        <v>541</v>
      </c>
      <c r="G333" s="22">
        <v>744960</v>
      </c>
      <c r="H333" s="23" t="str" cm="1">
        <f t="array" ref="H333">IFERROR(INDEX(단어표[분류],MIN(IF(ISNUMBER(FIND(단어표[포함단어],표3[[#This Row],[내용]])),ROW(단어표[포함단어])-ROW(포함단어시작셀)+1,ROWS(단어표[포함단어])+1))),"")</f>
        <v>업무관련</v>
      </c>
      <c r="I333" s="23" t="str">
        <f>VLOOKUP(H333,분류표[],2,0)</f>
        <v>사업운영비</v>
      </c>
      <c r="J333" s="24">
        <f t="shared" si="10"/>
        <v>44666</v>
      </c>
      <c r="K333" s="23">
        <f t="shared" si="11"/>
        <v>17</v>
      </c>
    </row>
    <row r="334" spans="1:11">
      <c r="A334" s="21">
        <v>44667</v>
      </c>
      <c r="B334" s="20" t="s">
        <v>134</v>
      </c>
      <c r="C334" s="20" t="s">
        <v>529</v>
      </c>
      <c r="D334" s="22">
        <v>8300</v>
      </c>
      <c r="E334" s="22"/>
      <c r="F334" s="20" t="s">
        <v>515</v>
      </c>
      <c r="G334" s="22">
        <v>736660</v>
      </c>
      <c r="H334" s="23" t="str" cm="1">
        <f t="array" ref="H334">IFERROR(INDEX(단어표[분류],MIN(IF(ISNUMBER(FIND(단어표[포함단어],표3[[#This Row],[내용]])),ROW(단어표[포함단어])-ROW(포함단어시작셀)+1,ROWS(단어표[포함단어])+1))),"")</f>
        <v>커피</v>
      </c>
      <c r="I334" s="23" t="str">
        <f>VLOOKUP(H334,분류표[],2,0)</f>
        <v>식비</v>
      </c>
      <c r="J334" s="24">
        <f t="shared" si="10"/>
        <v>44667</v>
      </c>
      <c r="K334" s="23">
        <f t="shared" si="11"/>
        <v>5</v>
      </c>
    </row>
    <row r="335" spans="1:11">
      <c r="A335" s="21">
        <v>44667</v>
      </c>
      <c r="B335" s="20" t="s">
        <v>133</v>
      </c>
      <c r="C335" s="20" t="s">
        <v>527</v>
      </c>
      <c r="D335" s="22">
        <v>4400</v>
      </c>
      <c r="E335" s="22"/>
      <c r="F335" s="20" t="s">
        <v>493</v>
      </c>
      <c r="G335" s="22">
        <v>732260</v>
      </c>
      <c r="H335" s="23" t="str" cm="1">
        <f t="array" ref="H335">IFERROR(INDEX(단어표[분류],MIN(IF(ISNUMBER(FIND(단어표[포함단어],표3[[#This Row],[내용]])),ROW(단어표[포함단어])-ROW(포함단어시작셀)+1,ROWS(단어표[포함단어])+1))),"")</f>
        <v>커피</v>
      </c>
      <c r="I335" s="23" t="str">
        <f>VLOOKUP(H335,분류표[],2,0)</f>
        <v>식비</v>
      </c>
      <c r="J335" s="24">
        <f t="shared" si="10"/>
        <v>44667</v>
      </c>
      <c r="K335" s="23">
        <f t="shared" si="11"/>
        <v>18</v>
      </c>
    </row>
    <row r="336" spans="1:11">
      <c r="A336" s="21">
        <v>44668</v>
      </c>
      <c r="B336" s="20" t="s">
        <v>132</v>
      </c>
      <c r="C336" s="20" t="s">
        <v>529</v>
      </c>
      <c r="D336" s="22">
        <v>19400</v>
      </c>
      <c r="E336" s="22"/>
      <c r="F336" s="20" t="s">
        <v>615</v>
      </c>
      <c r="G336" s="22">
        <v>712860</v>
      </c>
      <c r="H336" s="23" t="str" cm="1">
        <f t="array" ref="H336">IFERROR(INDEX(단어표[분류],MIN(IF(ISNUMBER(FIND(단어표[포함단어],표3[[#This Row],[내용]])),ROW(단어표[포함단어])-ROW(포함단어시작셀)+1,ROWS(단어표[포함단어])+1))),"")</f>
        <v>주식</v>
      </c>
      <c r="I336" s="23" t="str">
        <f>VLOOKUP(H336,분류표[],2,0)</f>
        <v>식비</v>
      </c>
      <c r="J336" s="24">
        <f t="shared" si="10"/>
        <v>44668</v>
      </c>
      <c r="K336" s="23">
        <f t="shared" si="11"/>
        <v>18</v>
      </c>
    </row>
    <row r="337" spans="1:11">
      <c r="A337" s="21">
        <v>44669</v>
      </c>
      <c r="B337" s="20" t="s">
        <v>131</v>
      </c>
      <c r="C337" s="20" t="s">
        <v>527</v>
      </c>
      <c r="D337" s="22">
        <v>150000</v>
      </c>
      <c r="E337" s="22"/>
      <c r="F337" s="20" t="s">
        <v>35</v>
      </c>
      <c r="G337" s="22">
        <v>562860</v>
      </c>
      <c r="H337" s="23" t="str" cm="1">
        <f t="array" ref="H337">IFERROR(INDEX(단어표[분류],MIN(IF(ISNUMBER(FIND(단어표[포함단어],표3[[#This Row],[내용]])),ROW(단어표[포함단어])-ROW(포함단어시작셀)+1,ROWS(단어표[포함단어])+1))),"")</f>
        <v>건강식품</v>
      </c>
      <c r="I337" s="23" t="str">
        <f>VLOOKUP(H337,분류표[],2,0)</f>
        <v>식비</v>
      </c>
      <c r="J337" s="24">
        <f t="shared" si="10"/>
        <v>44669</v>
      </c>
      <c r="K337" s="23">
        <f t="shared" si="11"/>
        <v>11</v>
      </c>
    </row>
    <row r="338" spans="1:11">
      <c r="A338" s="21">
        <v>44669</v>
      </c>
      <c r="B338" s="20" t="s">
        <v>130</v>
      </c>
      <c r="C338" s="20" t="s">
        <v>527</v>
      </c>
      <c r="D338" s="22">
        <v>4900</v>
      </c>
      <c r="E338" s="22"/>
      <c r="F338" s="20" t="s">
        <v>493</v>
      </c>
      <c r="G338" s="22">
        <v>557960</v>
      </c>
      <c r="H338" s="23" t="str" cm="1">
        <f t="array" ref="H338">IFERROR(INDEX(단어표[분류],MIN(IF(ISNUMBER(FIND(단어표[포함단어],표3[[#This Row],[내용]])),ROW(단어표[포함단어])-ROW(포함단어시작셀)+1,ROWS(단어표[포함단어])+1))),"")</f>
        <v>커피</v>
      </c>
      <c r="I338" s="23" t="str">
        <f>VLOOKUP(H338,분류표[],2,0)</f>
        <v>식비</v>
      </c>
      <c r="J338" s="24">
        <f t="shared" si="10"/>
        <v>44669</v>
      </c>
      <c r="K338" s="23">
        <f t="shared" si="11"/>
        <v>15</v>
      </c>
    </row>
    <row r="339" spans="1:11">
      <c r="A339" s="21">
        <v>44669</v>
      </c>
      <c r="B339" s="20" t="s">
        <v>129</v>
      </c>
      <c r="C339" s="20" t="s">
        <v>164</v>
      </c>
      <c r="D339" s="22">
        <v>21400</v>
      </c>
      <c r="E339" s="22"/>
      <c r="F339" s="20" t="s">
        <v>469</v>
      </c>
      <c r="G339" s="22">
        <v>536560</v>
      </c>
      <c r="H339" s="23" t="str" cm="1">
        <f t="array" ref="H339">IFERROR(INDEX(단어표[분류],MIN(IF(ISNUMBER(FIND(단어표[포함단어],표3[[#This Row],[내용]])),ROW(단어표[포함단어])-ROW(포함단어시작셀)+1,ROWS(단어표[포함단어])+1))),"")</f>
        <v>기타생활비</v>
      </c>
      <c r="I339" s="23" t="str">
        <f>VLOOKUP(H339,분류표[],2,0)</f>
        <v>생활비</v>
      </c>
      <c r="J339" s="24">
        <f t="shared" si="10"/>
        <v>44669</v>
      </c>
      <c r="K339" s="23">
        <f t="shared" si="11"/>
        <v>22</v>
      </c>
    </row>
    <row r="340" spans="1:11">
      <c r="A340" s="21">
        <v>44669</v>
      </c>
      <c r="B340" s="20" t="s">
        <v>128</v>
      </c>
      <c r="C340" s="20" t="s">
        <v>527</v>
      </c>
      <c r="D340" s="22">
        <v>4400</v>
      </c>
      <c r="E340" s="22"/>
      <c r="F340" s="20" t="s">
        <v>496</v>
      </c>
      <c r="G340" s="22">
        <v>532160</v>
      </c>
      <c r="H340" s="23" t="str" cm="1">
        <f t="array" ref="H340">IFERROR(INDEX(단어표[분류],MIN(IF(ISNUMBER(FIND(단어표[포함단어],표3[[#This Row],[내용]])),ROW(단어표[포함단어])-ROW(포함단어시작셀)+1,ROWS(단어표[포함단어])+1))),"")</f>
        <v>기타생활비</v>
      </c>
      <c r="I340" s="23" t="str">
        <f>VLOOKUP(H340,분류표[],2,0)</f>
        <v>생활비</v>
      </c>
      <c r="J340" s="24">
        <f t="shared" si="10"/>
        <v>44669</v>
      </c>
      <c r="K340" s="23">
        <f t="shared" si="11"/>
        <v>22</v>
      </c>
    </row>
    <row r="341" spans="1:11">
      <c r="A341" s="21">
        <v>44670</v>
      </c>
      <c r="B341" s="20" t="s">
        <v>126</v>
      </c>
      <c r="C341" s="20" t="s">
        <v>527</v>
      </c>
      <c r="D341" s="22">
        <v>9800</v>
      </c>
      <c r="E341" s="22"/>
      <c r="F341" s="20" t="s">
        <v>127</v>
      </c>
      <c r="G341" s="22">
        <v>522360</v>
      </c>
      <c r="H341" s="23" t="str" cm="1">
        <f t="array" ref="H341">IFERROR(INDEX(단어표[분류],MIN(IF(ISNUMBER(FIND(단어표[포함단어],표3[[#This Row],[내용]])),ROW(단어표[포함단어])-ROW(포함단어시작셀)+1,ROWS(단어표[포함단어])+1))),"")</f>
        <v>주식</v>
      </c>
      <c r="I341" s="23" t="str">
        <f>VLOOKUP(H341,분류표[],2,0)</f>
        <v>식비</v>
      </c>
      <c r="J341" s="24">
        <f t="shared" si="10"/>
        <v>44670</v>
      </c>
      <c r="K341" s="23">
        <f t="shared" si="11"/>
        <v>23</v>
      </c>
    </row>
    <row r="342" spans="1:11">
      <c r="A342" s="21">
        <v>44672</v>
      </c>
      <c r="B342" s="20" t="s">
        <v>125</v>
      </c>
      <c r="C342" s="20" t="s">
        <v>527</v>
      </c>
      <c r="D342" s="22">
        <v>16100</v>
      </c>
      <c r="E342" s="22"/>
      <c r="F342" s="20" t="s">
        <v>486</v>
      </c>
      <c r="G342" s="22">
        <v>506260</v>
      </c>
      <c r="H342" s="23" t="str" cm="1">
        <f t="array" ref="H342">IFERROR(INDEX(단어표[분류],MIN(IF(ISNUMBER(FIND(단어표[포함단어],표3[[#This Row],[내용]])),ROW(단어표[포함단어])-ROW(포함단어시작셀)+1,ROWS(단어표[포함단어])+1))),"")</f>
        <v>업무관련</v>
      </c>
      <c r="I342" s="23" t="str">
        <f>VLOOKUP(H342,분류표[],2,0)</f>
        <v>사업운영비</v>
      </c>
      <c r="J342" s="24">
        <f t="shared" si="10"/>
        <v>44672</v>
      </c>
      <c r="K342" s="23">
        <f t="shared" si="11"/>
        <v>9</v>
      </c>
    </row>
    <row r="343" spans="1:11">
      <c r="A343" s="21">
        <v>44672</v>
      </c>
      <c r="B343" s="20" t="s">
        <v>124</v>
      </c>
      <c r="C343" s="20" t="s">
        <v>527</v>
      </c>
      <c r="D343" s="22">
        <v>9300</v>
      </c>
      <c r="E343" s="22"/>
      <c r="F343" s="20" t="s">
        <v>459</v>
      </c>
      <c r="G343" s="22">
        <v>496960</v>
      </c>
      <c r="H343" s="23" t="str" cm="1">
        <f t="array" ref="H343">IFERROR(INDEX(단어표[분류],MIN(IF(ISNUMBER(FIND(단어표[포함단어],표3[[#This Row],[내용]])),ROW(단어표[포함단어])-ROW(포함단어시작셀)+1,ROWS(단어표[포함단어])+1))),"")</f>
        <v>구독서비스</v>
      </c>
      <c r="I343" s="23" t="str">
        <f>VLOOKUP(H343,분류표[],2,0)</f>
        <v>생활비</v>
      </c>
      <c r="J343" s="24">
        <f t="shared" si="10"/>
        <v>44672</v>
      </c>
      <c r="K343" s="23">
        <f t="shared" si="11"/>
        <v>10</v>
      </c>
    </row>
    <row r="344" spans="1:11">
      <c r="A344" s="21">
        <v>44672</v>
      </c>
      <c r="B344" s="20" t="s">
        <v>123</v>
      </c>
      <c r="C344" s="20" t="s">
        <v>527</v>
      </c>
      <c r="D344" s="22">
        <v>45500</v>
      </c>
      <c r="E344" s="22"/>
      <c r="F344" s="20" t="s">
        <v>453</v>
      </c>
      <c r="G344" s="22">
        <v>451460</v>
      </c>
      <c r="H344" s="23" t="str" cm="1">
        <f t="array" ref="H344">IFERROR(INDEX(단어표[분류],MIN(IF(ISNUMBER(FIND(단어표[포함단어],표3[[#This Row],[내용]])),ROW(단어표[포함단어])-ROW(포함단어시작셀)+1,ROWS(단어표[포함단어])+1))),"")</f>
        <v>업무관련</v>
      </c>
      <c r="I344" s="23" t="str">
        <f>VLOOKUP(H344,분류표[],2,0)</f>
        <v>사업운영비</v>
      </c>
      <c r="J344" s="24">
        <f t="shared" si="10"/>
        <v>44672</v>
      </c>
      <c r="K344" s="23">
        <f t="shared" si="11"/>
        <v>18</v>
      </c>
    </row>
    <row r="345" spans="1:11">
      <c r="A345" s="21">
        <v>44672</v>
      </c>
      <c r="B345" s="20" t="s">
        <v>122</v>
      </c>
      <c r="C345" s="20" t="s">
        <v>527</v>
      </c>
      <c r="D345" s="22">
        <v>12500</v>
      </c>
      <c r="E345" s="22"/>
      <c r="F345" s="20" t="s">
        <v>492</v>
      </c>
      <c r="G345" s="22">
        <v>438960</v>
      </c>
      <c r="H345" s="23" t="str" cm="1">
        <f t="array" ref="H345">IFERROR(INDEX(단어표[분류],MIN(IF(ISNUMBER(FIND(단어표[포함단어],표3[[#This Row],[내용]])),ROW(단어표[포함단어])-ROW(포함단어시작셀)+1,ROWS(단어표[포함단어])+1))),"")</f>
        <v>기타식료품</v>
      </c>
      <c r="I345" s="23" t="str">
        <f>VLOOKUP(H345,분류표[],2,0)</f>
        <v>식비</v>
      </c>
      <c r="J345" s="24">
        <f t="shared" si="10"/>
        <v>44672</v>
      </c>
      <c r="K345" s="23">
        <f t="shared" si="11"/>
        <v>23</v>
      </c>
    </row>
    <row r="346" spans="1:11">
      <c r="A346" s="21">
        <v>44673</v>
      </c>
      <c r="B346" s="20" t="s">
        <v>121</v>
      </c>
      <c r="C346" s="20" t="s">
        <v>527</v>
      </c>
      <c r="D346" s="22">
        <v>3400</v>
      </c>
      <c r="E346" s="22"/>
      <c r="F346" s="20" t="s">
        <v>493</v>
      </c>
      <c r="G346" s="22">
        <v>435560</v>
      </c>
      <c r="H346" s="23" t="str" cm="1">
        <f t="array" ref="H346">IFERROR(INDEX(단어표[분류],MIN(IF(ISNUMBER(FIND(단어표[포함단어],표3[[#This Row],[내용]])),ROW(단어표[포함단어])-ROW(포함단어시작셀)+1,ROWS(단어표[포함단어])+1))),"")</f>
        <v>커피</v>
      </c>
      <c r="I346" s="23" t="str">
        <f>VLOOKUP(H346,분류표[],2,0)</f>
        <v>식비</v>
      </c>
      <c r="J346" s="24">
        <f t="shared" si="10"/>
        <v>44673</v>
      </c>
      <c r="K346" s="23">
        <f t="shared" si="11"/>
        <v>10</v>
      </c>
    </row>
    <row r="347" spans="1:11">
      <c r="A347" s="21">
        <v>44673</v>
      </c>
      <c r="B347" s="20" t="s">
        <v>120</v>
      </c>
      <c r="C347" s="20" t="s">
        <v>527</v>
      </c>
      <c r="D347" s="22">
        <v>7600</v>
      </c>
      <c r="E347" s="22"/>
      <c r="F347" s="20" t="s">
        <v>472</v>
      </c>
      <c r="G347" s="22">
        <v>427960</v>
      </c>
      <c r="H347" s="23" t="str" cm="1">
        <f t="array" ref="H347">IFERROR(INDEX(단어표[분류],MIN(IF(ISNUMBER(FIND(단어표[포함단어],표3[[#This Row],[내용]])),ROW(단어표[포함단어])-ROW(포함단어시작셀)+1,ROWS(단어표[포함단어])+1))),"")</f>
        <v>주식</v>
      </c>
      <c r="I347" s="23" t="str">
        <f>VLOOKUP(H347,분류표[],2,0)</f>
        <v>식비</v>
      </c>
      <c r="J347" s="24">
        <f t="shared" si="10"/>
        <v>44673</v>
      </c>
      <c r="K347" s="23">
        <f t="shared" si="11"/>
        <v>15</v>
      </c>
    </row>
    <row r="348" spans="1:11">
      <c r="A348" s="21">
        <v>44673</v>
      </c>
      <c r="B348" s="20" t="s">
        <v>119</v>
      </c>
      <c r="C348" s="20" t="s">
        <v>527</v>
      </c>
      <c r="D348" s="22">
        <v>4900</v>
      </c>
      <c r="E348" s="22"/>
      <c r="F348" s="20" t="s">
        <v>48</v>
      </c>
      <c r="G348" s="22">
        <v>423060</v>
      </c>
      <c r="H348" s="23" t="str" cm="1">
        <f t="array" ref="H348">IFERROR(INDEX(단어표[분류],MIN(IF(ISNUMBER(FIND(단어표[포함단어],표3[[#This Row],[내용]])),ROW(단어표[포함단어])-ROW(포함단어시작셀)+1,ROWS(단어표[포함단어])+1))),"")</f>
        <v>커피</v>
      </c>
      <c r="I348" s="23" t="str">
        <f>VLOOKUP(H348,분류표[],2,0)</f>
        <v>식비</v>
      </c>
      <c r="J348" s="24">
        <f t="shared" si="10"/>
        <v>44673</v>
      </c>
      <c r="K348" s="23">
        <f t="shared" si="11"/>
        <v>15</v>
      </c>
    </row>
    <row r="349" spans="1:11">
      <c r="A349" s="21">
        <v>44674</v>
      </c>
      <c r="B349" s="20" t="s">
        <v>30</v>
      </c>
      <c r="C349" s="20" t="s">
        <v>527</v>
      </c>
      <c r="D349" s="22">
        <v>2000</v>
      </c>
      <c r="E349" s="22"/>
      <c r="F349" s="20" t="s">
        <v>31</v>
      </c>
      <c r="G349" s="22">
        <v>421060</v>
      </c>
      <c r="H349" s="23" t="str" cm="1">
        <f t="array" ref="H349">IFERROR(INDEX(단어표[분류],MIN(IF(ISNUMBER(FIND(단어표[포함단어],표3[[#This Row],[내용]])),ROW(단어표[포함단어])-ROW(포함단어시작셀)+1,ROWS(단어표[포함단어])+1))),"")</f>
        <v>구독서비스</v>
      </c>
      <c r="I349" s="23" t="str">
        <f>VLOOKUP(H349,분류표[],2,0)</f>
        <v>생활비</v>
      </c>
      <c r="J349" s="24">
        <f t="shared" si="10"/>
        <v>44674</v>
      </c>
      <c r="K349" s="23">
        <f t="shared" si="11"/>
        <v>2</v>
      </c>
    </row>
    <row r="350" spans="1:11">
      <c r="A350" s="21">
        <v>44674</v>
      </c>
      <c r="B350" s="20" t="s">
        <v>118</v>
      </c>
      <c r="C350" s="20" t="s">
        <v>527</v>
      </c>
      <c r="D350" s="22">
        <v>4300</v>
      </c>
      <c r="E350" s="22"/>
      <c r="F350" s="20" t="s">
        <v>493</v>
      </c>
      <c r="G350" s="22">
        <v>416760</v>
      </c>
      <c r="H350" s="23" t="str" cm="1">
        <f t="array" ref="H350">IFERROR(INDEX(단어표[분류],MIN(IF(ISNUMBER(FIND(단어표[포함단어],표3[[#This Row],[내용]])),ROW(단어표[포함단어])-ROW(포함단어시작셀)+1,ROWS(단어표[포함단어])+1))),"")</f>
        <v>커피</v>
      </c>
      <c r="I350" s="23" t="str">
        <f>VLOOKUP(H350,분류표[],2,0)</f>
        <v>식비</v>
      </c>
      <c r="J350" s="24">
        <f t="shared" si="10"/>
        <v>44674</v>
      </c>
      <c r="K350" s="23">
        <f t="shared" si="11"/>
        <v>19</v>
      </c>
    </row>
    <row r="351" spans="1:11">
      <c r="A351" s="21">
        <v>44675</v>
      </c>
      <c r="B351" s="20" t="s">
        <v>117</v>
      </c>
      <c r="C351" s="20" t="s">
        <v>527</v>
      </c>
      <c r="D351" s="22">
        <v>8300</v>
      </c>
      <c r="E351" s="22"/>
      <c r="F351" s="20" t="s">
        <v>464</v>
      </c>
      <c r="G351" s="22">
        <v>408460</v>
      </c>
      <c r="H351" s="23" t="str" cm="1">
        <f t="array" ref="H351">IFERROR(INDEX(단어표[분류],MIN(IF(ISNUMBER(FIND(단어표[포함단어],표3[[#This Row],[내용]])),ROW(단어표[포함단어])-ROW(포함단어시작셀)+1,ROWS(단어표[포함단어])+1))),"")</f>
        <v>주식</v>
      </c>
      <c r="I351" s="23" t="str">
        <f>VLOOKUP(H351,분류표[],2,0)</f>
        <v>식비</v>
      </c>
      <c r="J351" s="24">
        <f t="shared" si="10"/>
        <v>44675</v>
      </c>
      <c r="K351" s="23">
        <f t="shared" si="11"/>
        <v>21</v>
      </c>
    </row>
    <row r="352" spans="1:11">
      <c r="A352" s="21">
        <v>44675</v>
      </c>
      <c r="B352" s="20" t="s">
        <v>116</v>
      </c>
      <c r="C352" s="20" t="s">
        <v>527</v>
      </c>
      <c r="D352" s="22">
        <v>5600</v>
      </c>
      <c r="E352" s="22"/>
      <c r="F352" s="20" t="s">
        <v>492</v>
      </c>
      <c r="G352" s="22">
        <v>402860</v>
      </c>
      <c r="H352" s="23" t="str" cm="1">
        <f t="array" ref="H352">IFERROR(INDEX(단어표[분류],MIN(IF(ISNUMBER(FIND(단어표[포함단어],표3[[#This Row],[내용]])),ROW(단어표[포함단어])-ROW(포함단어시작셀)+1,ROWS(단어표[포함단어])+1))),"")</f>
        <v>기타식료품</v>
      </c>
      <c r="I352" s="23" t="str">
        <f>VLOOKUP(H352,분류표[],2,0)</f>
        <v>식비</v>
      </c>
      <c r="J352" s="24">
        <f t="shared" si="10"/>
        <v>44675</v>
      </c>
      <c r="K352" s="23">
        <f t="shared" si="11"/>
        <v>21</v>
      </c>
    </row>
    <row r="353" spans="1:11">
      <c r="A353" s="21">
        <v>44676</v>
      </c>
      <c r="B353" s="25">
        <v>0.41957175925925921</v>
      </c>
      <c r="C353" s="20" t="s">
        <v>529</v>
      </c>
      <c r="D353" s="22"/>
      <c r="E353" s="22">
        <v>2917500</v>
      </c>
      <c r="F353" s="20" t="s">
        <v>528</v>
      </c>
      <c r="G353" s="22">
        <v>3320360</v>
      </c>
      <c r="H353" s="23" t="str" cm="1">
        <f t="array" ref="H353">IFERROR(INDEX(단어표[분류],MIN(IF(ISNUMBER(FIND(단어표[포함단어],표3[[#This Row],[내용]])),ROW(단어표[포함단어])-ROW(포함단어시작셀)+1,ROWS(단어표[포함단어])+1))),"")</f>
        <v>급여</v>
      </c>
      <c r="I353" s="23" t="str">
        <f>VLOOKUP(H353,분류표[],2,0)</f>
        <v>수입</v>
      </c>
      <c r="J353" s="24">
        <f t="shared" si="10"/>
        <v>44676</v>
      </c>
      <c r="K353" s="23">
        <f t="shared" si="11"/>
        <v>10</v>
      </c>
    </row>
    <row r="354" spans="1:11">
      <c r="A354" s="21">
        <v>44676</v>
      </c>
      <c r="B354" s="25">
        <v>0.42745370370370367</v>
      </c>
      <c r="C354" s="20" t="s">
        <v>642</v>
      </c>
      <c r="D354" s="22">
        <v>450000</v>
      </c>
      <c r="E354" s="22"/>
      <c r="F354" s="20" t="s">
        <v>647</v>
      </c>
      <c r="G354" s="22">
        <v>2870360</v>
      </c>
      <c r="H354" s="23" t="str" cm="1">
        <f t="array" ref="H354">IFERROR(INDEX(단어표[분류],MIN(IF(ISNUMBER(FIND(단어표[포함단어],표3[[#This Row],[내용]])),ROW(단어표[포함단어])-ROW(포함단어시작셀)+1,ROWS(단어표[포함단어])+1))),"")</f>
        <v>예적금</v>
      </c>
      <c r="I354" s="23" t="str">
        <f>VLOOKUP(H354,분류표[],2,0)</f>
        <v>투자비</v>
      </c>
      <c r="J354" s="24">
        <f t="shared" si="10"/>
        <v>44676</v>
      </c>
      <c r="K354" s="23">
        <f t="shared" si="11"/>
        <v>10</v>
      </c>
    </row>
    <row r="355" spans="1:11">
      <c r="A355" s="21">
        <v>44676</v>
      </c>
      <c r="B355" s="20" t="s">
        <v>115</v>
      </c>
      <c r="C355" s="20" t="s">
        <v>527</v>
      </c>
      <c r="D355" s="22">
        <v>2600</v>
      </c>
      <c r="E355" s="22"/>
      <c r="F355" s="20" t="s">
        <v>492</v>
      </c>
      <c r="G355" s="22">
        <v>2867760</v>
      </c>
      <c r="H355" s="23" t="str" cm="1">
        <f t="array" ref="H355">IFERROR(INDEX(단어표[분류],MIN(IF(ISNUMBER(FIND(단어표[포함단어],표3[[#This Row],[내용]])),ROW(단어표[포함단어])-ROW(포함단어시작셀)+1,ROWS(단어표[포함단어])+1))),"")</f>
        <v>기타식료품</v>
      </c>
      <c r="I355" s="23" t="str">
        <f>VLOOKUP(H355,분류표[],2,0)</f>
        <v>식비</v>
      </c>
      <c r="J355" s="24">
        <f t="shared" si="10"/>
        <v>44676</v>
      </c>
      <c r="K355" s="23">
        <f t="shared" si="11"/>
        <v>9</v>
      </c>
    </row>
    <row r="356" spans="1:11">
      <c r="A356" s="21">
        <v>44676</v>
      </c>
      <c r="B356" s="20" t="s">
        <v>114</v>
      </c>
      <c r="C356" s="20" t="s">
        <v>527</v>
      </c>
      <c r="D356" s="22">
        <v>14200</v>
      </c>
      <c r="E356" s="22"/>
      <c r="F356" s="20" t="s">
        <v>48</v>
      </c>
      <c r="G356" s="22">
        <v>2853560</v>
      </c>
      <c r="H356" s="23" t="str" cm="1">
        <f t="array" ref="H356">IFERROR(INDEX(단어표[분류],MIN(IF(ISNUMBER(FIND(단어표[포함단어],표3[[#This Row],[내용]])),ROW(단어표[포함단어])-ROW(포함단어시작셀)+1,ROWS(단어표[포함단어])+1))),"")</f>
        <v>커피</v>
      </c>
      <c r="I356" s="23" t="str">
        <f>VLOOKUP(H356,분류표[],2,0)</f>
        <v>식비</v>
      </c>
      <c r="J356" s="24">
        <f t="shared" si="10"/>
        <v>44676</v>
      </c>
      <c r="K356" s="23">
        <f t="shared" si="11"/>
        <v>12</v>
      </c>
    </row>
    <row r="357" spans="1:11">
      <c r="A357" s="21">
        <v>44676</v>
      </c>
      <c r="B357" s="20" t="s">
        <v>113</v>
      </c>
      <c r="C357" s="20" t="s">
        <v>462</v>
      </c>
      <c r="D357" s="22">
        <v>41600</v>
      </c>
      <c r="E357" s="22"/>
      <c r="F357" s="20" t="s">
        <v>487</v>
      </c>
      <c r="G357" s="22">
        <v>2811960</v>
      </c>
      <c r="H357" s="23" t="str" cm="1">
        <f t="array" ref="H357">IFERROR(INDEX(단어표[분류],MIN(IF(ISNUMBER(FIND(단어표[포함단어],표3[[#This Row],[내용]])),ROW(단어표[포함단어])-ROW(포함단어시작셀)+1,ROWS(단어표[포함단어])+1))),"")</f>
        <v>생명보험</v>
      </c>
      <c r="I357" s="23" t="str">
        <f>VLOOKUP(H357,분류표[],2,0)</f>
        <v>보험비</v>
      </c>
      <c r="J357" s="24">
        <f t="shared" si="10"/>
        <v>44676</v>
      </c>
      <c r="K357" s="23">
        <f t="shared" si="11"/>
        <v>18</v>
      </c>
    </row>
    <row r="358" spans="1:11">
      <c r="A358" s="21">
        <v>44676</v>
      </c>
      <c r="B358" s="20" t="s">
        <v>112</v>
      </c>
      <c r="C358" s="20" t="s">
        <v>529</v>
      </c>
      <c r="D358" s="22">
        <v>24900</v>
      </c>
      <c r="E358" s="22"/>
      <c r="F358" s="20" t="s">
        <v>491</v>
      </c>
      <c r="G358" s="22">
        <v>2787060</v>
      </c>
      <c r="H358" s="23" t="str" cm="1">
        <f t="array" ref="H358">IFERROR(INDEX(단어표[분류],MIN(IF(ISNUMBER(FIND(단어표[포함단어],표3[[#This Row],[내용]])),ROW(단어표[포함단어])-ROW(포함단어시작셀)+1,ROWS(단어표[포함단어])+1))),"")</f>
        <v>기부금</v>
      </c>
      <c r="I358" s="23" t="str">
        <f>VLOOKUP(H358,분류표[],2,0)</f>
        <v>경조사비</v>
      </c>
      <c r="J358" s="24">
        <f t="shared" si="10"/>
        <v>44676</v>
      </c>
      <c r="K358" s="23">
        <f t="shared" si="11"/>
        <v>19</v>
      </c>
    </row>
    <row r="359" spans="1:11">
      <c r="A359" s="21">
        <v>44676</v>
      </c>
      <c r="B359" s="20" t="s">
        <v>111</v>
      </c>
      <c r="C359" s="20" t="s">
        <v>527</v>
      </c>
      <c r="D359" s="22">
        <v>5600</v>
      </c>
      <c r="E359" s="22"/>
      <c r="F359" s="20" t="s">
        <v>474</v>
      </c>
      <c r="G359" s="22">
        <v>2781460</v>
      </c>
      <c r="H359" s="23" t="str" cm="1">
        <f t="array" ref="H359">IFERROR(INDEX(단어표[분류],MIN(IF(ISNUMBER(FIND(단어표[포함단어],표3[[#This Row],[내용]])),ROW(단어표[포함단어])-ROW(포함단어시작셀)+1,ROWS(단어표[포함단어])+1))),"")</f>
        <v>생활용품</v>
      </c>
      <c r="I359" s="23" t="str">
        <f>VLOOKUP(H359,분류표[],2,0)</f>
        <v>생활비</v>
      </c>
      <c r="J359" s="24">
        <f t="shared" si="10"/>
        <v>44676</v>
      </c>
      <c r="K359" s="23">
        <f t="shared" si="11"/>
        <v>23</v>
      </c>
    </row>
    <row r="360" spans="1:11">
      <c r="A360" s="21">
        <v>44676</v>
      </c>
      <c r="B360" s="20" t="s">
        <v>110</v>
      </c>
      <c r="C360" s="20" t="s">
        <v>527</v>
      </c>
      <c r="D360" s="22">
        <v>1900</v>
      </c>
      <c r="E360" s="22"/>
      <c r="F360" s="20" t="s">
        <v>496</v>
      </c>
      <c r="G360" s="22">
        <v>2779560</v>
      </c>
      <c r="H360" s="23" t="str" cm="1">
        <f t="array" ref="H360">IFERROR(INDEX(단어표[분류],MIN(IF(ISNUMBER(FIND(단어표[포함단어],표3[[#This Row],[내용]])),ROW(단어표[포함단어])-ROW(포함단어시작셀)+1,ROWS(단어표[포함단어])+1))),"")</f>
        <v>기타생활비</v>
      </c>
      <c r="I360" s="23" t="str">
        <f>VLOOKUP(H360,분류표[],2,0)</f>
        <v>생활비</v>
      </c>
      <c r="J360" s="24">
        <f t="shared" si="10"/>
        <v>44676</v>
      </c>
      <c r="K360" s="23">
        <f t="shared" si="11"/>
        <v>23</v>
      </c>
    </row>
    <row r="361" spans="1:11">
      <c r="A361" s="21">
        <v>44677</v>
      </c>
      <c r="B361" s="20" t="s">
        <v>109</v>
      </c>
      <c r="C361" s="20" t="s">
        <v>19</v>
      </c>
      <c r="D361" s="22">
        <v>2100</v>
      </c>
      <c r="E361" s="22"/>
      <c r="F361" s="20" t="s">
        <v>517</v>
      </c>
      <c r="G361" s="22">
        <v>2777460</v>
      </c>
      <c r="H361" s="23" t="str" cm="1">
        <f t="array" ref="H361">IFERROR(INDEX(단어표[분류],MIN(IF(ISNUMBER(FIND(단어표[포함단어],표3[[#This Row],[내용]])),ROW(단어표[포함단어])-ROW(포함단어시작셀)+1,ROWS(단어표[포함단어])+1))),"")</f>
        <v>휴대폰</v>
      </c>
      <c r="I361" s="23" t="str">
        <f>VLOOKUP(H361,분류표[],2,0)</f>
        <v>통신비</v>
      </c>
      <c r="J361" s="24">
        <f t="shared" si="10"/>
        <v>44677</v>
      </c>
      <c r="K361" s="23">
        <f t="shared" si="11"/>
        <v>7</v>
      </c>
    </row>
    <row r="362" spans="1:11">
      <c r="A362" s="21">
        <v>44677</v>
      </c>
      <c r="B362" s="20" t="s">
        <v>108</v>
      </c>
      <c r="C362" s="20" t="s">
        <v>527</v>
      </c>
      <c r="D362" s="22">
        <v>3100</v>
      </c>
      <c r="E362" s="22"/>
      <c r="F362" s="20" t="s">
        <v>492</v>
      </c>
      <c r="G362" s="22">
        <v>2774360</v>
      </c>
      <c r="H362" s="23" t="str" cm="1">
        <f t="array" ref="H362">IFERROR(INDEX(단어표[분류],MIN(IF(ISNUMBER(FIND(단어표[포함단어],표3[[#This Row],[내용]])),ROW(단어표[포함단어])-ROW(포함단어시작셀)+1,ROWS(단어표[포함단어])+1))),"")</f>
        <v>기타식료품</v>
      </c>
      <c r="I362" s="23" t="str">
        <f>VLOOKUP(H362,분류표[],2,0)</f>
        <v>식비</v>
      </c>
      <c r="J362" s="24">
        <f t="shared" si="10"/>
        <v>44677</v>
      </c>
      <c r="K362" s="23">
        <f t="shared" si="11"/>
        <v>9</v>
      </c>
    </row>
    <row r="363" spans="1:11">
      <c r="A363" s="21">
        <v>44677</v>
      </c>
      <c r="B363" s="20" t="s">
        <v>107</v>
      </c>
      <c r="C363" s="20" t="s">
        <v>460</v>
      </c>
      <c r="D363" s="22">
        <v>790800</v>
      </c>
      <c r="E363" s="22"/>
      <c r="F363" s="20" t="s">
        <v>526</v>
      </c>
      <c r="G363" s="22">
        <v>1983560</v>
      </c>
      <c r="H363" s="23" t="str" cm="1">
        <f t="array" ref="H363">IFERROR(INDEX(단어표[분류],MIN(IF(ISNUMBER(FIND(단어표[포함단어],표3[[#This Row],[내용]])),ROW(단어표[포함단어])-ROW(포함단어시작셀)+1,ROWS(단어표[포함단어])+1))),"")</f>
        <v>월세</v>
      </c>
      <c r="I363" s="23" t="str">
        <f>VLOOKUP(H363,분류표[],2,0)</f>
        <v>주거/공과금</v>
      </c>
      <c r="J363" s="24">
        <f t="shared" si="10"/>
        <v>44677</v>
      </c>
      <c r="K363" s="23">
        <f t="shared" si="11"/>
        <v>9</v>
      </c>
    </row>
    <row r="364" spans="1:11">
      <c r="A364" s="21">
        <v>44677</v>
      </c>
      <c r="B364" s="20" t="s">
        <v>106</v>
      </c>
      <c r="C364" s="20" t="s">
        <v>460</v>
      </c>
      <c r="D364" s="22">
        <v>15600</v>
      </c>
      <c r="E364" s="22"/>
      <c r="F364" s="20" t="s">
        <v>524</v>
      </c>
      <c r="G364" s="22">
        <v>1967960</v>
      </c>
      <c r="H364" s="23" t="str" cm="1">
        <f t="array" ref="H364">IFERROR(INDEX(단어표[분류],MIN(IF(ISNUMBER(FIND(단어표[포함단어],표3[[#This Row],[내용]])),ROW(단어표[포함단어])-ROW(포함단어시작셀)+1,ROWS(단어표[포함단어])+1))),"")</f>
        <v>월세</v>
      </c>
      <c r="I364" s="23" t="str">
        <f>VLOOKUP(H364,분류표[],2,0)</f>
        <v>주거/공과금</v>
      </c>
      <c r="J364" s="24">
        <f t="shared" si="10"/>
        <v>44677</v>
      </c>
      <c r="K364" s="23">
        <f t="shared" si="11"/>
        <v>9</v>
      </c>
    </row>
    <row r="365" spans="1:11">
      <c r="A365" s="21">
        <v>44677</v>
      </c>
      <c r="B365" s="20" t="s">
        <v>105</v>
      </c>
      <c r="C365" s="20" t="s">
        <v>527</v>
      </c>
      <c r="D365" s="22">
        <v>9200</v>
      </c>
      <c r="E365" s="22"/>
      <c r="F365" s="20" t="s">
        <v>520</v>
      </c>
      <c r="G365" s="22">
        <v>1958760</v>
      </c>
      <c r="H365" s="23" t="str" cm="1">
        <f t="array" ref="H365">IFERROR(INDEX(단어표[분류],MIN(IF(ISNUMBER(FIND(단어표[포함단어],표3[[#This Row],[내용]])),ROW(단어표[포함단어])-ROW(포함단어시작셀)+1,ROWS(단어표[포함단어])+1))),"")</f>
        <v>주식</v>
      </c>
      <c r="I365" s="23" t="str">
        <f>VLOOKUP(H365,분류표[],2,0)</f>
        <v>식비</v>
      </c>
      <c r="J365" s="24">
        <f t="shared" si="10"/>
        <v>44677</v>
      </c>
      <c r="K365" s="23">
        <f t="shared" si="11"/>
        <v>12</v>
      </c>
    </row>
    <row r="366" spans="1:11">
      <c r="A366" s="21">
        <v>44677</v>
      </c>
      <c r="B366" s="20" t="s">
        <v>104</v>
      </c>
      <c r="C366" s="20" t="s">
        <v>527</v>
      </c>
      <c r="D366" s="22">
        <v>7700</v>
      </c>
      <c r="E366" s="22"/>
      <c r="F366" s="20" t="s">
        <v>28</v>
      </c>
      <c r="G366" s="22">
        <v>1951060</v>
      </c>
      <c r="H366" s="23" t="str" cm="1">
        <f t="array" ref="H366">IFERROR(INDEX(단어표[분류],MIN(IF(ISNUMBER(FIND(단어표[포함단어],표3[[#This Row],[내용]])),ROW(단어표[포함단어])-ROW(포함단어시작셀)+1,ROWS(단어표[포함단어])+1))),"")</f>
        <v>주식</v>
      </c>
      <c r="I366" s="23" t="str">
        <f>VLOOKUP(H366,분류표[],2,0)</f>
        <v>식비</v>
      </c>
      <c r="J366" s="24">
        <f t="shared" si="10"/>
        <v>44677</v>
      </c>
      <c r="K366" s="23">
        <f t="shared" si="11"/>
        <v>18</v>
      </c>
    </row>
    <row r="367" spans="1:11">
      <c r="A367" s="21">
        <v>44678</v>
      </c>
      <c r="B367" s="20" t="s">
        <v>103</v>
      </c>
      <c r="C367" s="20" t="s">
        <v>460</v>
      </c>
      <c r="D367" s="22">
        <v>114600</v>
      </c>
      <c r="E367" s="22"/>
      <c r="F367" s="20" t="s">
        <v>525</v>
      </c>
      <c r="G367" s="22">
        <v>1836460</v>
      </c>
      <c r="H367" s="23" t="str" cm="1">
        <f t="array" ref="H367">IFERROR(INDEX(단어표[분류],MIN(IF(ISNUMBER(FIND(단어표[포함단어],표3[[#This Row],[내용]])),ROW(단어표[포함단어])-ROW(포함단어시작셀)+1,ROWS(단어표[포함단어])+1))),"")</f>
        <v>월세</v>
      </c>
      <c r="I367" s="23" t="str">
        <f>VLOOKUP(H367,분류표[],2,0)</f>
        <v>주거/공과금</v>
      </c>
      <c r="J367" s="24">
        <f t="shared" si="10"/>
        <v>44678</v>
      </c>
      <c r="K367" s="23">
        <f t="shared" si="11"/>
        <v>21</v>
      </c>
    </row>
    <row r="368" spans="1:11">
      <c r="A368" s="21">
        <v>44679</v>
      </c>
      <c r="B368" s="20" t="s">
        <v>102</v>
      </c>
      <c r="C368" s="20" t="s">
        <v>527</v>
      </c>
      <c r="D368" s="22">
        <v>4700</v>
      </c>
      <c r="E368" s="22"/>
      <c r="F368" s="20" t="s">
        <v>493</v>
      </c>
      <c r="G368" s="22">
        <v>1831760</v>
      </c>
      <c r="H368" s="23" t="str" cm="1">
        <f t="array" ref="H368">IFERROR(INDEX(단어표[분류],MIN(IF(ISNUMBER(FIND(단어표[포함단어],표3[[#This Row],[내용]])),ROW(단어표[포함단어])-ROW(포함단어시작셀)+1,ROWS(단어표[포함단어])+1))),"")</f>
        <v>커피</v>
      </c>
      <c r="I368" s="23" t="str">
        <f>VLOOKUP(H368,분류표[],2,0)</f>
        <v>식비</v>
      </c>
      <c r="J368" s="24">
        <f t="shared" si="10"/>
        <v>44679</v>
      </c>
      <c r="K368" s="23">
        <f t="shared" si="11"/>
        <v>16</v>
      </c>
    </row>
    <row r="369" spans="1:11">
      <c r="A369" s="21">
        <v>44679</v>
      </c>
      <c r="B369" s="20" t="s">
        <v>101</v>
      </c>
      <c r="C369" s="20" t="s">
        <v>529</v>
      </c>
      <c r="D369" s="22">
        <v>11900</v>
      </c>
      <c r="E369" s="22"/>
      <c r="F369" s="20" t="s">
        <v>483</v>
      </c>
      <c r="G369" s="22">
        <v>1819860</v>
      </c>
      <c r="H369" s="23" t="str" cm="1">
        <f t="array" ref="H369">IFERROR(INDEX(단어표[분류],MIN(IF(ISNUMBER(FIND(단어표[포함단어],표3[[#This Row],[내용]])),ROW(단어표[포함단어])-ROW(포함단어시작셀)+1,ROWS(단어표[포함단어])+1))),"")</f>
        <v>간식</v>
      </c>
      <c r="I369" s="23" t="str">
        <f>VLOOKUP(H369,분류표[],2,0)</f>
        <v>식비</v>
      </c>
      <c r="J369" s="24">
        <f t="shared" si="10"/>
        <v>44679</v>
      </c>
      <c r="K369" s="23">
        <f t="shared" si="11"/>
        <v>21</v>
      </c>
    </row>
    <row r="370" spans="1:11">
      <c r="A370" s="21">
        <v>44680</v>
      </c>
      <c r="B370" s="20" t="s">
        <v>100</v>
      </c>
      <c r="C370" s="20" t="s">
        <v>527</v>
      </c>
      <c r="D370" s="22">
        <v>6400</v>
      </c>
      <c r="E370" s="22"/>
      <c r="F370" s="20" t="s">
        <v>514</v>
      </c>
      <c r="G370" s="22">
        <v>1813460</v>
      </c>
      <c r="H370" s="23" t="str" cm="1">
        <f t="array" ref="H370">IFERROR(INDEX(단어표[분류],MIN(IF(ISNUMBER(FIND(단어표[포함단어],표3[[#This Row],[내용]])),ROW(단어표[포함단어])-ROW(포함단어시작셀)+1,ROWS(단어표[포함단어])+1))),"")</f>
        <v>커피</v>
      </c>
      <c r="I370" s="23" t="str">
        <f>VLOOKUP(H370,분류표[],2,0)</f>
        <v>식비</v>
      </c>
      <c r="J370" s="24">
        <f t="shared" si="10"/>
        <v>44680</v>
      </c>
      <c r="K370" s="23">
        <f t="shared" si="11"/>
        <v>14</v>
      </c>
    </row>
    <row r="371" spans="1:11">
      <c r="A371" s="21">
        <v>44680</v>
      </c>
      <c r="B371" s="20" t="s">
        <v>99</v>
      </c>
      <c r="C371" s="20" t="s">
        <v>527</v>
      </c>
      <c r="D371" s="22">
        <v>1800</v>
      </c>
      <c r="E371" s="22"/>
      <c r="F371" s="20" t="s">
        <v>492</v>
      </c>
      <c r="G371" s="22">
        <v>1811660</v>
      </c>
      <c r="H371" s="23" t="str" cm="1">
        <f t="array" ref="H371">IFERROR(INDEX(단어표[분류],MIN(IF(ISNUMBER(FIND(단어표[포함단어],표3[[#This Row],[내용]])),ROW(단어표[포함단어])-ROW(포함단어시작셀)+1,ROWS(단어표[포함단어])+1))),"")</f>
        <v>기타식료품</v>
      </c>
      <c r="I371" s="23" t="str">
        <f>VLOOKUP(H371,분류표[],2,0)</f>
        <v>식비</v>
      </c>
      <c r="J371" s="24">
        <f t="shared" si="10"/>
        <v>44680</v>
      </c>
      <c r="K371" s="23">
        <f t="shared" si="11"/>
        <v>15</v>
      </c>
    </row>
    <row r="372" spans="1:11">
      <c r="A372" s="21">
        <v>44680</v>
      </c>
      <c r="B372" s="20" t="s">
        <v>98</v>
      </c>
      <c r="C372" s="20" t="s">
        <v>527</v>
      </c>
      <c r="D372" s="22">
        <v>5000</v>
      </c>
      <c r="E372" s="22"/>
      <c r="F372" s="20" t="s">
        <v>493</v>
      </c>
      <c r="G372" s="22">
        <v>1806660</v>
      </c>
      <c r="H372" s="23" t="str" cm="1">
        <f t="array" ref="H372">IFERROR(INDEX(단어표[분류],MIN(IF(ISNUMBER(FIND(단어표[포함단어],표3[[#This Row],[내용]])),ROW(단어표[포함단어])-ROW(포함단어시작셀)+1,ROWS(단어표[포함단어])+1))),"")</f>
        <v>커피</v>
      </c>
      <c r="I372" s="23" t="str">
        <f>VLOOKUP(H372,분류표[],2,0)</f>
        <v>식비</v>
      </c>
      <c r="J372" s="24">
        <f t="shared" si="10"/>
        <v>44680</v>
      </c>
      <c r="K372" s="23">
        <f t="shared" si="11"/>
        <v>16</v>
      </c>
    </row>
    <row r="373" spans="1:11">
      <c r="A373" s="21">
        <v>44680</v>
      </c>
      <c r="B373" s="20" t="s">
        <v>97</v>
      </c>
      <c r="C373" s="20" t="s">
        <v>527</v>
      </c>
      <c r="D373" s="22">
        <v>4000</v>
      </c>
      <c r="E373" s="22"/>
      <c r="F373" s="20" t="s">
        <v>456</v>
      </c>
      <c r="G373" s="22">
        <v>1802660</v>
      </c>
      <c r="H373" s="23" t="str" cm="1">
        <f t="array" ref="H373">IFERROR(INDEX(단어표[분류],MIN(IF(ISNUMBER(FIND(단어표[포함단어],표3[[#This Row],[내용]])),ROW(단어표[포함단어])-ROW(포함단어시작셀)+1,ROWS(단어표[포함단어])+1))),"")</f>
        <v>간식</v>
      </c>
      <c r="I373" s="23" t="str">
        <f>VLOOKUP(H373,분류표[],2,0)</f>
        <v>식비</v>
      </c>
      <c r="J373" s="24">
        <f t="shared" si="10"/>
        <v>44680</v>
      </c>
      <c r="K373" s="23">
        <f t="shared" si="11"/>
        <v>18</v>
      </c>
    </row>
    <row r="374" spans="1:11">
      <c r="A374" s="21">
        <v>44680</v>
      </c>
      <c r="B374" s="20" t="s">
        <v>96</v>
      </c>
      <c r="C374" s="20" t="s">
        <v>527</v>
      </c>
      <c r="D374" s="22">
        <v>22800</v>
      </c>
      <c r="E374" s="22"/>
      <c r="F374" s="20" t="s">
        <v>13</v>
      </c>
      <c r="G374" s="22">
        <v>1779860</v>
      </c>
      <c r="H374" s="23" t="str" cm="1">
        <f t="array" ref="H374">IFERROR(INDEX(단어표[분류],MIN(IF(ISNUMBER(FIND(단어표[포함단어],표3[[#This Row],[내용]])),ROW(단어표[포함단어])-ROW(포함단어시작셀)+1,ROWS(단어표[포함단어])+1))),"")</f>
        <v>생활용품</v>
      </c>
      <c r="I374" s="23" t="str">
        <f>VLOOKUP(H374,분류표[],2,0)</f>
        <v>생활비</v>
      </c>
      <c r="J374" s="24">
        <f t="shared" si="10"/>
        <v>44680</v>
      </c>
      <c r="K374" s="23">
        <f t="shared" si="11"/>
        <v>19</v>
      </c>
    </row>
    <row r="375" spans="1:11">
      <c r="A375" s="21">
        <v>44681</v>
      </c>
      <c r="B375" s="20" t="s">
        <v>95</v>
      </c>
      <c r="C375" s="20" t="s">
        <v>529</v>
      </c>
      <c r="D375" s="22">
        <v>8500</v>
      </c>
      <c r="E375" s="22"/>
      <c r="F375" s="20" t="s">
        <v>605</v>
      </c>
      <c r="G375" s="22">
        <v>1771360</v>
      </c>
      <c r="H375" s="23" t="str" cm="1">
        <f t="array" ref="H375">IFERROR(INDEX(단어표[분류],MIN(IF(ISNUMBER(FIND(단어표[포함단어],표3[[#This Row],[내용]])),ROW(단어표[포함단어])-ROW(포함단어시작셀)+1,ROWS(단어표[포함단어])+1))),"")</f>
        <v>커피</v>
      </c>
      <c r="I375" s="23" t="str">
        <f>VLOOKUP(H375,분류표[],2,0)</f>
        <v>식비</v>
      </c>
      <c r="J375" s="24">
        <f t="shared" si="10"/>
        <v>44681</v>
      </c>
      <c r="K375" s="23">
        <f t="shared" si="11"/>
        <v>15</v>
      </c>
    </row>
    <row r="376" spans="1:11">
      <c r="A376" s="21">
        <v>44682</v>
      </c>
      <c r="B376" s="20" t="s">
        <v>94</v>
      </c>
      <c r="C376" s="20" t="s">
        <v>527</v>
      </c>
      <c r="D376" s="22">
        <v>5200</v>
      </c>
      <c r="E376" s="22"/>
      <c r="F376" s="20" t="s">
        <v>468</v>
      </c>
      <c r="G376" s="22">
        <v>1766160</v>
      </c>
      <c r="H376" s="23" t="str" cm="1">
        <f t="array" ref="H376">IFERROR(INDEX(단어표[분류],MIN(IF(ISNUMBER(FIND(단어표[포함단어],표3[[#This Row],[내용]])),ROW(단어표[포함단어])-ROW(포함단어시작셀)+1,ROWS(단어표[포함단어])+1))),"")</f>
        <v>교통비</v>
      </c>
      <c r="I376" s="23" t="str">
        <f>VLOOKUP(H376,분류표[],2,0)</f>
        <v>교통비</v>
      </c>
      <c r="J376" s="24">
        <f t="shared" ref="J376:J407" si="12">A376</f>
        <v>44682</v>
      </c>
      <c r="K376" s="23">
        <f t="shared" ref="K376:K407" si="13">HOUR(B376)</f>
        <v>17</v>
      </c>
    </row>
    <row r="377" spans="1:11">
      <c r="A377" s="21">
        <v>44682</v>
      </c>
      <c r="B377" s="20" t="s">
        <v>92</v>
      </c>
      <c r="C377" s="20" t="s">
        <v>527</v>
      </c>
      <c r="D377" s="22">
        <v>55300</v>
      </c>
      <c r="E377" s="22"/>
      <c r="F377" s="20" t="s">
        <v>93</v>
      </c>
      <c r="G377" s="22">
        <v>1710860</v>
      </c>
      <c r="H377" s="23" t="str" cm="1">
        <f t="array" ref="H377">IFERROR(INDEX(단어표[분류],MIN(IF(ISNUMBER(FIND(단어표[포함단어],표3[[#This Row],[내용]])),ROW(단어표[포함단어])-ROW(포함단어시작셀)+1,ROWS(단어표[포함단어])+1))),"")</f>
        <v>주식</v>
      </c>
      <c r="I377" s="23" t="str">
        <f>VLOOKUP(H377,분류표[],2,0)</f>
        <v>식비</v>
      </c>
      <c r="J377" s="24">
        <f t="shared" si="12"/>
        <v>44682</v>
      </c>
      <c r="K377" s="23">
        <f t="shared" si="13"/>
        <v>19</v>
      </c>
    </row>
    <row r="378" spans="1:11">
      <c r="A378" s="21">
        <v>44682</v>
      </c>
      <c r="B378" s="20" t="s">
        <v>91</v>
      </c>
      <c r="C378" s="20" t="s">
        <v>527</v>
      </c>
      <c r="D378" s="22">
        <v>4000</v>
      </c>
      <c r="E378" s="22"/>
      <c r="F378" s="20" t="s">
        <v>492</v>
      </c>
      <c r="G378" s="22">
        <v>1706860</v>
      </c>
      <c r="H378" s="23" t="str" cm="1">
        <f t="array" ref="H378">IFERROR(INDEX(단어표[분류],MIN(IF(ISNUMBER(FIND(단어표[포함단어],표3[[#This Row],[내용]])),ROW(단어표[포함단어])-ROW(포함단어시작셀)+1,ROWS(단어표[포함단어])+1))),"")</f>
        <v>기타식료품</v>
      </c>
      <c r="I378" s="23" t="str">
        <f>VLOOKUP(H378,분류표[],2,0)</f>
        <v>식비</v>
      </c>
      <c r="J378" s="24">
        <f t="shared" si="12"/>
        <v>44682</v>
      </c>
      <c r="K378" s="23">
        <f t="shared" si="13"/>
        <v>21</v>
      </c>
    </row>
    <row r="379" spans="1:11">
      <c r="A379" s="21">
        <v>44683</v>
      </c>
      <c r="B379" s="20" t="s">
        <v>90</v>
      </c>
      <c r="C379" s="20" t="s">
        <v>462</v>
      </c>
      <c r="D379" s="22">
        <v>17100</v>
      </c>
      <c r="E379" s="22"/>
      <c r="F379" s="20" t="s">
        <v>490</v>
      </c>
      <c r="G379" s="22">
        <v>1689760</v>
      </c>
      <c r="H379" s="23" t="str" cm="1">
        <f t="array" ref="H379">IFERROR(INDEX(단어표[분류],MIN(IF(ISNUMBER(FIND(단어표[포함단어],표3[[#This Row],[내용]])),ROW(단어표[포함단어])-ROW(포함단어시작셀)+1,ROWS(단어표[포함단어])+1))),"")</f>
        <v>건강보험</v>
      </c>
      <c r="I379" s="23" t="str">
        <f>VLOOKUP(H379,분류표[],2,0)</f>
        <v>보험비</v>
      </c>
      <c r="J379" s="24">
        <f t="shared" si="12"/>
        <v>44683</v>
      </c>
      <c r="K379" s="23">
        <f t="shared" si="13"/>
        <v>7</v>
      </c>
    </row>
    <row r="380" spans="1:11">
      <c r="A380" s="21">
        <v>44684</v>
      </c>
      <c r="B380" s="20" t="s">
        <v>89</v>
      </c>
      <c r="C380" s="20" t="s">
        <v>527</v>
      </c>
      <c r="D380" s="22">
        <v>5400</v>
      </c>
      <c r="E380" s="22"/>
      <c r="F380" s="20" t="s">
        <v>31</v>
      </c>
      <c r="G380" s="22">
        <v>1684360</v>
      </c>
      <c r="H380" s="23" t="str" cm="1">
        <f t="array" ref="H380">IFERROR(INDEX(단어표[분류],MIN(IF(ISNUMBER(FIND(단어표[포함단어],표3[[#This Row],[내용]])),ROW(단어표[포함단어])-ROW(포함단어시작셀)+1,ROWS(단어표[포함단어])+1))),"")</f>
        <v>구독서비스</v>
      </c>
      <c r="I380" s="23" t="str">
        <f>VLOOKUP(H380,분류표[],2,0)</f>
        <v>생활비</v>
      </c>
      <c r="J380" s="24">
        <f t="shared" si="12"/>
        <v>44684</v>
      </c>
      <c r="K380" s="23">
        <f t="shared" si="13"/>
        <v>14</v>
      </c>
    </row>
    <row r="381" spans="1:11">
      <c r="A381" s="21">
        <v>44684</v>
      </c>
      <c r="B381" s="20" t="s">
        <v>87</v>
      </c>
      <c r="C381" s="20" t="s">
        <v>527</v>
      </c>
      <c r="D381" s="22">
        <v>198800</v>
      </c>
      <c r="E381" s="22"/>
      <c r="F381" s="20" t="s">
        <v>88</v>
      </c>
      <c r="G381" s="22">
        <v>1485560</v>
      </c>
      <c r="H381" s="23" t="str" cm="1">
        <f t="array" ref="H381">IFERROR(INDEX(단어표[분류],MIN(IF(ISNUMBER(FIND(단어표[포함단어],표3[[#This Row],[내용]])),ROW(단어표[포함단어])-ROW(포함단어시작셀)+1,ROWS(단어표[포함단어])+1))),"")</f>
        <v>의류구매</v>
      </c>
      <c r="I381" s="23" t="str">
        <f>VLOOKUP(H381,분류표[],2,0)</f>
        <v>생활비</v>
      </c>
      <c r="J381" s="24">
        <f t="shared" si="12"/>
        <v>44684</v>
      </c>
      <c r="K381" s="23">
        <f t="shared" si="13"/>
        <v>20</v>
      </c>
    </row>
    <row r="382" spans="1:11">
      <c r="A382" s="21">
        <v>44684</v>
      </c>
      <c r="B382" s="20" t="s">
        <v>86</v>
      </c>
      <c r="C382" s="20" t="s">
        <v>527</v>
      </c>
      <c r="D382" s="22">
        <v>1200</v>
      </c>
      <c r="E382" s="22"/>
      <c r="F382" s="20" t="s">
        <v>456</v>
      </c>
      <c r="G382" s="22">
        <v>1484360</v>
      </c>
      <c r="H382" s="23" t="str" cm="1">
        <f t="array" ref="H382">IFERROR(INDEX(단어표[분류],MIN(IF(ISNUMBER(FIND(단어표[포함단어],표3[[#This Row],[내용]])),ROW(단어표[포함단어])-ROW(포함단어시작셀)+1,ROWS(단어표[포함단어])+1))),"")</f>
        <v>간식</v>
      </c>
      <c r="I382" s="23" t="str">
        <f>VLOOKUP(H382,분류표[],2,0)</f>
        <v>식비</v>
      </c>
      <c r="J382" s="24">
        <f t="shared" si="12"/>
        <v>44684</v>
      </c>
      <c r="K382" s="23">
        <f t="shared" si="13"/>
        <v>21</v>
      </c>
    </row>
    <row r="383" spans="1:11">
      <c r="A383" s="21">
        <v>44685</v>
      </c>
      <c r="B383" s="20" t="s">
        <v>437</v>
      </c>
      <c r="C383" s="20" t="s">
        <v>642</v>
      </c>
      <c r="D383" s="22"/>
      <c r="E383" s="22">
        <v>160730</v>
      </c>
      <c r="F383" s="20" t="s">
        <v>643</v>
      </c>
      <c r="G383" s="22">
        <v>1645090</v>
      </c>
      <c r="H383" s="23" t="str" cm="1">
        <f t="array" ref="H383">IFERROR(INDEX(단어표[분류],MIN(IF(ISNUMBER(FIND(단어표[포함단어],표3[[#This Row],[내용]])),ROW(단어표[포함단어])-ROW(포함단어시작셀)+1,ROWS(단어표[포함단어])+1))),"")</f>
        <v>금융이익</v>
      </c>
      <c r="I383" s="23" t="str">
        <f>VLOOKUP(H383,분류표[],2,0)</f>
        <v>수입</v>
      </c>
      <c r="J383" s="24">
        <f t="shared" si="12"/>
        <v>44685</v>
      </c>
      <c r="K383" s="23">
        <f t="shared" si="13"/>
        <v>0</v>
      </c>
    </row>
    <row r="384" spans="1:11">
      <c r="A384" s="21">
        <v>44685</v>
      </c>
      <c r="B384" s="20" t="s">
        <v>85</v>
      </c>
      <c r="C384" s="20" t="s">
        <v>527</v>
      </c>
      <c r="D384" s="22">
        <v>3800</v>
      </c>
      <c r="E384" s="22"/>
      <c r="F384" s="20" t="s">
        <v>493</v>
      </c>
      <c r="G384" s="22">
        <v>1641290</v>
      </c>
      <c r="H384" s="23" t="str" cm="1">
        <f t="array" ref="H384">IFERROR(INDEX(단어표[분류],MIN(IF(ISNUMBER(FIND(단어표[포함단어],표3[[#This Row],[내용]])),ROW(단어표[포함단어])-ROW(포함단어시작셀)+1,ROWS(단어표[포함단어])+1))),"")</f>
        <v>커피</v>
      </c>
      <c r="I384" s="23" t="str">
        <f>VLOOKUP(H384,분류표[],2,0)</f>
        <v>식비</v>
      </c>
      <c r="J384" s="24">
        <f t="shared" si="12"/>
        <v>44685</v>
      </c>
      <c r="K384" s="23">
        <f t="shared" si="13"/>
        <v>16</v>
      </c>
    </row>
    <row r="385" spans="1:11">
      <c r="A385" s="21">
        <v>44685</v>
      </c>
      <c r="B385" s="20" t="s">
        <v>84</v>
      </c>
      <c r="C385" s="20" t="s">
        <v>527</v>
      </c>
      <c r="D385" s="22">
        <v>26900</v>
      </c>
      <c r="E385" s="22"/>
      <c r="F385" s="20" t="s">
        <v>458</v>
      </c>
      <c r="G385" s="22">
        <v>1614390</v>
      </c>
      <c r="H385" s="23" t="str" cm="1">
        <f t="array" ref="H385">IFERROR(INDEX(단어표[분류],MIN(IF(ISNUMBER(FIND(단어표[포함단어],표3[[#This Row],[내용]])),ROW(단어표[포함단어])-ROW(포함단어시작셀)+1,ROWS(단어표[포함단어])+1))),"")</f>
        <v>교통비</v>
      </c>
      <c r="I385" s="23" t="str">
        <f>VLOOKUP(H385,분류표[],2,0)</f>
        <v>교통비</v>
      </c>
      <c r="J385" s="24">
        <f t="shared" si="12"/>
        <v>44685</v>
      </c>
      <c r="K385" s="23">
        <f t="shared" si="13"/>
        <v>18</v>
      </c>
    </row>
    <row r="386" spans="1:11">
      <c r="A386" s="21">
        <v>44685</v>
      </c>
      <c r="B386" s="20" t="s">
        <v>83</v>
      </c>
      <c r="C386" s="20" t="s">
        <v>527</v>
      </c>
      <c r="D386" s="22">
        <v>8900</v>
      </c>
      <c r="E386" s="22"/>
      <c r="F386" s="20" t="s">
        <v>492</v>
      </c>
      <c r="G386" s="22">
        <v>1605490</v>
      </c>
      <c r="H386" s="23" t="str" cm="1">
        <f t="array" ref="H386">IFERROR(INDEX(단어표[분류],MIN(IF(ISNUMBER(FIND(단어표[포함단어],표3[[#This Row],[내용]])),ROW(단어표[포함단어])-ROW(포함단어시작셀)+1,ROWS(단어표[포함단어])+1))),"")</f>
        <v>기타식료품</v>
      </c>
      <c r="I386" s="23" t="str">
        <f>VLOOKUP(H386,분류표[],2,0)</f>
        <v>식비</v>
      </c>
      <c r="J386" s="24">
        <f t="shared" si="12"/>
        <v>44685</v>
      </c>
      <c r="K386" s="23">
        <f t="shared" si="13"/>
        <v>20</v>
      </c>
    </row>
    <row r="387" spans="1:11">
      <c r="A387" s="21">
        <v>44686</v>
      </c>
      <c r="B387" s="20" t="s">
        <v>82</v>
      </c>
      <c r="C387" s="20" t="s">
        <v>527</v>
      </c>
      <c r="D387" s="22">
        <v>103700</v>
      </c>
      <c r="E387" s="22"/>
      <c r="F387" s="20" t="s">
        <v>452</v>
      </c>
      <c r="G387" s="22">
        <v>1501790</v>
      </c>
      <c r="H387" s="23" t="str" cm="1">
        <f t="array" ref="H387">IFERROR(INDEX(단어표[분류],MIN(IF(ISNUMBER(FIND(단어표[포함단어],표3[[#This Row],[내용]])),ROW(단어표[포함단어])-ROW(포함단어시작셀)+1,ROWS(단어표[포함단어])+1))),"")</f>
        <v>선물</v>
      </c>
      <c r="I387" s="23" t="str">
        <f>VLOOKUP(H387,분류표[],2,0)</f>
        <v>경조사비</v>
      </c>
      <c r="J387" s="24">
        <f t="shared" si="12"/>
        <v>44686</v>
      </c>
      <c r="K387" s="23">
        <f t="shared" si="13"/>
        <v>20</v>
      </c>
    </row>
    <row r="388" spans="1:11">
      <c r="A388" s="21">
        <v>44687</v>
      </c>
      <c r="B388" s="20" t="s">
        <v>80</v>
      </c>
      <c r="C388" s="20" t="s">
        <v>529</v>
      </c>
      <c r="D388" s="22">
        <v>14300</v>
      </c>
      <c r="E388" s="22"/>
      <c r="F388" s="20" t="s">
        <v>13</v>
      </c>
      <c r="G388" s="22">
        <v>1487490</v>
      </c>
      <c r="H388" s="23" t="str" cm="1">
        <f t="array" ref="H388">IFERROR(INDEX(단어표[분류],MIN(IF(ISNUMBER(FIND(단어표[포함단어],표3[[#This Row],[내용]])),ROW(단어표[포함단어])-ROW(포함단어시작셀)+1,ROWS(단어표[포함단어])+1))),"")</f>
        <v>생활용품</v>
      </c>
      <c r="I388" s="23" t="str">
        <f>VLOOKUP(H388,분류표[],2,0)</f>
        <v>생활비</v>
      </c>
      <c r="J388" s="24">
        <f t="shared" si="12"/>
        <v>44687</v>
      </c>
      <c r="K388" s="23">
        <f t="shared" si="13"/>
        <v>12</v>
      </c>
    </row>
    <row r="389" spans="1:11">
      <c r="A389" s="21">
        <v>44687</v>
      </c>
      <c r="B389" s="20" t="s">
        <v>79</v>
      </c>
      <c r="C389" s="20" t="s">
        <v>527</v>
      </c>
      <c r="D389" s="22">
        <v>4100</v>
      </c>
      <c r="E389" s="22"/>
      <c r="F389" s="20" t="s">
        <v>492</v>
      </c>
      <c r="G389" s="22">
        <v>1483390</v>
      </c>
      <c r="H389" s="23" t="str" cm="1">
        <f t="array" ref="H389">IFERROR(INDEX(단어표[분류],MIN(IF(ISNUMBER(FIND(단어표[포함단어],표3[[#This Row],[내용]])),ROW(단어표[포함단어])-ROW(포함단어시작셀)+1,ROWS(단어표[포함단어])+1))),"")</f>
        <v>기타식료품</v>
      </c>
      <c r="I389" s="23" t="str">
        <f>VLOOKUP(H389,분류표[],2,0)</f>
        <v>식비</v>
      </c>
      <c r="J389" s="24">
        <f t="shared" si="12"/>
        <v>44687</v>
      </c>
      <c r="K389" s="23">
        <f t="shared" si="13"/>
        <v>15</v>
      </c>
    </row>
    <row r="390" spans="1:11">
      <c r="A390" s="21">
        <v>44687</v>
      </c>
      <c r="B390" s="20" t="s">
        <v>78</v>
      </c>
      <c r="C390" s="20" t="s">
        <v>527</v>
      </c>
      <c r="D390" s="22">
        <v>5000</v>
      </c>
      <c r="E390" s="22"/>
      <c r="F390" s="20" t="s">
        <v>493</v>
      </c>
      <c r="G390" s="22">
        <v>1478390</v>
      </c>
      <c r="H390" s="23" t="str" cm="1">
        <f t="array" ref="H390">IFERROR(INDEX(단어표[분류],MIN(IF(ISNUMBER(FIND(단어표[포함단어],표3[[#This Row],[내용]])),ROW(단어표[포함단어])-ROW(포함단어시작셀)+1,ROWS(단어표[포함단어])+1))),"")</f>
        <v>커피</v>
      </c>
      <c r="I390" s="23" t="str">
        <f>VLOOKUP(H390,분류표[],2,0)</f>
        <v>식비</v>
      </c>
      <c r="J390" s="24">
        <f t="shared" si="12"/>
        <v>44687</v>
      </c>
      <c r="K390" s="23">
        <f t="shared" si="13"/>
        <v>15</v>
      </c>
    </row>
    <row r="391" spans="1:11">
      <c r="A391" s="21">
        <v>44687</v>
      </c>
      <c r="B391" s="20" t="s">
        <v>77</v>
      </c>
      <c r="C391" s="20" t="s">
        <v>529</v>
      </c>
      <c r="D391" s="22">
        <v>56400</v>
      </c>
      <c r="E391" s="22"/>
      <c r="F391" s="20" t="s">
        <v>616</v>
      </c>
      <c r="G391" s="22">
        <v>1421990</v>
      </c>
      <c r="H391" s="23" t="str" cm="1">
        <f t="array" ref="H391">IFERROR(INDEX(단어표[분류],MIN(IF(ISNUMBER(FIND(단어표[포함단어],표3[[#This Row],[내용]])),ROW(단어표[포함단어])-ROW(포함단어시작셀)+1,ROWS(단어표[포함단어])+1))),"")</f>
        <v>주식</v>
      </c>
      <c r="I391" s="23" t="str">
        <f>VLOOKUP(H391,분류표[],2,0)</f>
        <v>식비</v>
      </c>
      <c r="J391" s="24">
        <f t="shared" si="12"/>
        <v>44687</v>
      </c>
      <c r="K391" s="23">
        <f t="shared" si="13"/>
        <v>17</v>
      </c>
    </row>
    <row r="392" spans="1:11">
      <c r="A392" s="21">
        <v>44687</v>
      </c>
      <c r="B392" s="20" t="s">
        <v>74</v>
      </c>
      <c r="C392" s="20" t="s">
        <v>75</v>
      </c>
      <c r="D392" s="22">
        <v>5100</v>
      </c>
      <c r="E392" s="22"/>
      <c r="F392" s="20" t="s">
        <v>76</v>
      </c>
      <c r="G392" s="22">
        <v>1416890</v>
      </c>
      <c r="H392" s="23" t="str" cm="1">
        <f t="array" ref="H392">IFERROR(INDEX(단어표[분류],MIN(IF(ISNUMBER(FIND(단어표[포함단어],표3[[#This Row],[내용]])),ROW(단어표[포함단어])-ROW(포함단어시작셀)+1,ROWS(단어표[포함단어])+1))),"")</f>
        <v>기타생활비</v>
      </c>
      <c r="I392" s="23" t="str">
        <f>VLOOKUP(H392,분류표[],2,0)</f>
        <v>생활비</v>
      </c>
      <c r="J392" s="24">
        <f t="shared" si="12"/>
        <v>44687</v>
      </c>
      <c r="K392" s="23">
        <f t="shared" si="13"/>
        <v>17</v>
      </c>
    </row>
    <row r="393" spans="1:11">
      <c r="A393" s="21">
        <v>44687</v>
      </c>
      <c r="B393" s="20" t="s">
        <v>73</v>
      </c>
      <c r="C393" s="20" t="s">
        <v>527</v>
      </c>
      <c r="D393" s="22">
        <v>1600</v>
      </c>
      <c r="E393" s="22"/>
      <c r="F393" s="20" t="s">
        <v>492</v>
      </c>
      <c r="G393" s="22">
        <v>1415290</v>
      </c>
      <c r="H393" s="23" t="str" cm="1">
        <f t="array" ref="H393">IFERROR(INDEX(단어표[분류],MIN(IF(ISNUMBER(FIND(단어표[포함단어],표3[[#This Row],[내용]])),ROW(단어표[포함단어])-ROW(포함단어시작셀)+1,ROWS(단어표[포함단어])+1))),"")</f>
        <v>기타식료품</v>
      </c>
      <c r="I393" s="23" t="str">
        <f>VLOOKUP(H393,분류표[],2,0)</f>
        <v>식비</v>
      </c>
      <c r="J393" s="24">
        <f t="shared" si="12"/>
        <v>44687</v>
      </c>
      <c r="K393" s="23">
        <f t="shared" si="13"/>
        <v>19</v>
      </c>
    </row>
    <row r="394" spans="1:11">
      <c r="A394" s="21">
        <v>44687</v>
      </c>
      <c r="B394" s="20" t="s">
        <v>72</v>
      </c>
      <c r="C394" s="20" t="s">
        <v>527</v>
      </c>
      <c r="D394" s="22">
        <v>12200</v>
      </c>
      <c r="E394" s="22"/>
      <c r="F394" s="20" t="s">
        <v>452</v>
      </c>
      <c r="G394" s="22">
        <v>1403090</v>
      </c>
      <c r="H394" s="23" t="str" cm="1">
        <f t="array" ref="H394">IFERROR(INDEX(단어표[분류],MIN(IF(ISNUMBER(FIND(단어표[포함단어],표3[[#This Row],[내용]])),ROW(단어표[포함단어])-ROW(포함단어시작셀)+1,ROWS(단어표[포함단어])+1))),"")</f>
        <v>선물</v>
      </c>
      <c r="I394" s="23" t="str">
        <f>VLOOKUP(H394,분류표[],2,0)</f>
        <v>경조사비</v>
      </c>
      <c r="J394" s="24">
        <f t="shared" si="12"/>
        <v>44687</v>
      </c>
      <c r="K394" s="23">
        <f t="shared" si="13"/>
        <v>19</v>
      </c>
    </row>
    <row r="395" spans="1:11">
      <c r="A395" s="21">
        <v>44689</v>
      </c>
      <c r="B395" s="20" t="s">
        <v>71</v>
      </c>
      <c r="C395" s="20" t="s">
        <v>527</v>
      </c>
      <c r="D395" s="22">
        <v>12300</v>
      </c>
      <c r="E395" s="22"/>
      <c r="F395" s="20" t="s">
        <v>31</v>
      </c>
      <c r="G395" s="22">
        <v>1390790</v>
      </c>
      <c r="H395" s="23" t="str" cm="1">
        <f t="array" ref="H395">IFERROR(INDEX(단어표[분류],MIN(IF(ISNUMBER(FIND(단어표[포함단어],표3[[#This Row],[내용]])),ROW(단어표[포함단어])-ROW(포함단어시작셀)+1,ROWS(단어표[포함단어])+1))),"")</f>
        <v>구독서비스</v>
      </c>
      <c r="I395" s="23" t="str">
        <f>VLOOKUP(H395,분류표[],2,0)</f>
        <v>생활비</v>
      </c>
      <c r="J395" s="24">
        <f t="shared" si="12"/>
        <v>44689</v>
      </c>
      <c r="K395" s="23">
        <f t="shared" si="13"/>
        <v>7</v>
      </c>
    </row>
    <row r="396" spans="1:11">
      <c r="A396" s="21">
        <v>44689</v>
      </c>
      <c r="B396" s="20" t="s">
        <v>69</v>
      </c>
      <c r="C396" s="20" t="s">
        <v>527</v>
      </c>
      <c r="D396" s="22">
        <v>202800</v>
      </c>
      <c r="E396" s="22"/>
      <c r="F396" s="20" t="s">
        <v>70</v>
      </c>
      <c r="G396" s="22">
        <v>1187990</v>
      </c>
      <c r="H396" s="23" t="str" cm="1">
        <f t="array" ref="H396">IFERROR(INDEX(단어표[분류],MIN(IF(ISNUMBER(FIND(단어표[포함단어],표3[[#This Row],[내용]])),ROW(단어표[포함단어])-ROW(포함단어시작셀)+1,ROWS(단어표[포함단어])+1))),"")</f>
        <v>주식</v>
      </c>
      <c r="I396" s="23" t="str">
        <f>VLOOKUP(H396,분류표[],2,0)</f>
        <v>식비</v>
      </c>
      <c r="J396" s="24">
        <f t="shared" si="12"/>
        <v>44689</v>
      </c>
      <c r="K396" s="23">
        <f t="shared" si="13"/>
        <v>19</v>
      </c>
    </row>
    <row r="397" spans="1:11">
      <c r="A397" s="21">
        <v>44689</v>
      </c>
      <c r="B397" s="20" t="s">
        <v>68</v>
      </c>
      <c r="C397" s="20" t="s">
        <v>527</v>
      </c>
      <c r="D397" s="22">
        <v>6600</v>
      </c>
      <c r="E397" s="22"/>
      <c r="F397" s="20" t="s">
        <v>492</v>
      </c>
      <c r="G397" s="22">
        <v>1181390</v>
      </c>
      <c r="H397" s="23" t="str" cm="1">
        <f t="array" ref="H397">IFERROR(INDEX(단어표[분류],MIN(IF(ISNUMBER(FIND(단어표[포함단어],표3[[#This Row],[내용]])),ROW(단어표[포함단어])-ROW(포함단어시작셀)+1,ROWS(단어표[포함단어])+1))),"")</f>
        <v>기타식료품</v>
      </c>
      <c r="I397" s="23" t="str">
        <f>VLOOKUP(H397,분류표[],2,0)</f>
        <v>식비</v>
      </c>
      <c r="J397" s="24">
        <f t="shared" si="12"/>
        <v>44689</v>
      </c>
      <c r="K397" s="23">
        <f t="shared" si="13"/>
        <v>22</v>
      </c>
    </row>
    <row r="398" spans="1:11">
      <c r="A398" s="21">
        <v>44689</v>
      </c>
      <c r="B398" s="20" t="s">
        <v>67</v>
      </c>
      <c r="C398" s="20" t="s">
        <v>527</v>
      </c>
      <c r="D398" s="22">
        <v>8800</v>
      </c>
      <c r="E398" s="22"/>
      <c r="F398" s="20" t="s">
        <v>492</v>
      </c>
      <c r="G398" s="22">
        <v>1172590</v>
      </c>
      <c r="H398" s="23" t="str" cm="1">
        <f t="array" ref="H398">IFERROR(INDEX(단어표[분류],MIN(IF(ISNUMBER(FIND(단어표[포함단어],표3[[#This Row],[내용]])),ROW(단어표[포함단어])-ROW(포함단어시작셀)+1,ROWS(단어표[포함단어])+1))),"")</f>
        <v>기타식료품</v>
      </c>
      <c r="I398" s="23" t="str">
        <f>VLOOKUP(H398,분류표[],2,0)</f>
        <v>식비</v>
      </c>
      <c r="J398" s="24">
        <f t="shared" si="12"/>
        <v>44689</v>
      </c>
      <c r="K398" s="23">
        <f t="shared" si="13"/>
        <v>22</v>
      </c>
    </row>
    <row r="399" spans="1:11">
      <c r="A399" s="21">
        <v>44691</v>
      </c>
      <c r="B399" s="20" t="s">
        <v>66</v>
      </c>
      <c r="C399" s="20" t="s">
        <v>527</v>
      </c>
      <c r="D399" s="22">
        <v>2200</v>
      </c>
      <c r="E399" s="22"/>
      <c r="F399" s="20" t="s">
        <v>31</v>
      </c>
      <c r="G399" s="22">
        <v>1170390</v>
      </c>
      <c r="H399" s="23" t="str" cm="1">
        <f t="array" ref="H399">IFERROR(INDEX(단어표[분류],MIN(IF(ISNUMBER(FIND(단어표[포함단어],표3[[#This Row],[내용]])),ROW(단어표[포함단어])-ROW(포함단어시작셀)+1,ROWS(단어표[포함단어])+1))),"")</f>
        <v>구독서비스</v>
      </c>
      <c r="I399" s="23" t="str">
        <f>VLOOKUP(H399,분류표[],2,0)</f>
        <v>생활비</v>
      </c>
      <c r="J399" s="24">
        <f t="shared" si="12"/>
        <v>44691</v>
      </c>
      <c r="K399" s="23">
        <f t="shared" si="13"/>
        <v>0</v>
      </c>
    </row>
    <row r="400" spans="1:11">
      <c r="A400" s="21">
        <v>44691</v>
      </c>
      <c r="B400" s="20" t="s">
        <v>65</v>
      </c>
      <c r="C400" s="20" t="s">
        <v>527</v>
      </c>
      <c r="D400" s="22">
        <v>3800</v>
      </c>
      <c r="E400" s="22"/>
      <c r="F400" s="20" t="s">
        <v>492</v>
      </c>
      <c r="G400" s="22">
        <v>1166590</v>
      </c>
      <c r="H400" s="23" t="str" cm="1">
        <f t="array" ref="H400">IFERROR(INDEX(단어표[분류],MIN(IF(ISNUMBER(FIND(단어표[포함단어],표3[[#This Row],[내용]])),ROW(단어표[포함단어])-ROW(포함단어시작셀)+1,ROWS(단어표[포함단어])+1))),"")</f>
        <v>기타식료품</v>
      </c>
      <c r="I400" s="23" t="str">
        <f>VLOOKUP(H400,분류표[],2,0)</f>
        <v>식비</v>
      </c>
      <c r="J400" s="24">
        <f t="shared" si="12"/>
        <v>44691</v>
      </c>
      <c r="K400" s="23">
        <f t="shared" si="13"/>
        <v>23</v>
      </c>
    </row>
    <row r="401" spans="1:11">
      <c r="A401" s="21">
        <v>44692</v>
      </c>
      <c r="B401" s="20" t="s">
        <v>64</v>
      </c>
      <c r="C401" s="20" t="s">
        <v>529</v>
      </c>
      <c r="D401" s="22">
        <v>18600</v>
      </c>
      <c r="E401" s="22"/>
      <c r="F401" s="20" t="s">
        <v>617</v>
      </c>
      <c r="G401" s="22">
        <v>1147990</v>
      </c>
      <c r="H401" s="23" t="str" cm="1">
        <f t="array" ref="H401">IFERROR(INDEX(단어표[분류],MIN(IF(ISNUMBER(FIND(단어표[포함단어],표3[[#This Row],[내용]])),ROW(단어표[포함단어])-ROW(포함단어시작셀)+1,ROWS(단어표[포함단어])+1))),"")</f>
        <v>주식</v>
      </c>
      <c r="I401" s="23" t="str">
        <f>VLOOKUP(H401,분류표[],2,0)</f>
        <v>식비</v>
      </c>
      <c r="J401" s="24">
        <f t="shared" si="12"/>
        <v>44692</v>
      </c>
      <c r="K401" s="23">
        <f t="shared" si="13"/>
        <v>9</v>
      </c>
    </row>
    <row r="402" spans="1:11">
      <c r="A402" s="21">
        <v>44692</v>
      </c>
      <c r="B402" s="20" t="s">
        <v>63</v>
      </c>
      <c r="C402" s="20" t="s">
        <v>527</v>
      </c>
      <c r="D402" s="22">
        <v>11500</v>
      </c>
      <c r="E402" s="22"/>
      <c r="F402" s="20" t="s">
        <v>452</v>
      </c>
      <c r="G402" s="22">
        <v>1136490</v>
      </c>
      <c r="H402" s="23" t="str" cm="1">
        <f t="array" ref="H402">IFERROR(INDEX(단어표[분류],MIN(IF(ISNUMBER(FIND(단어표[포함단어],표3[[#This Row],[내용]])),ROW(단어표[포함단어])-ROW(포함단어시작셀)+1,ROWS(단어표[포함단어])+1))),"")</f>
        <v>선물</v>
      </c>
      <c r="I402" s="23" t="str">
        <f>VLOOKUP(H402,분류표[],2,0)</f>
        <v>경조사비</v>
      </c>
      <c r="J402" s="24">
        <f t="shared" si="12"/>
        <v>44692</v>
      </c>
      <c r="K402" s="23">
        <f t="shared" si="13"/>
        <v>11</v>
      </c>
    </row>
    <row r="403" spans="1:11">
      <c r="A403" s="21">
        <v>44692</v>
      </c>
      <c r="B403" s="20" t="s">
        <v>62</v>
      </c>
      <c r="C403" s="20" t="s">
        <v>527</v>
      </c>
      <c r="D403" s="22">
        <v>4400</v>
      </c>
      <c r="E403" s="22"/>
      <c r="F403" s="20" t="s">
        <v>13</v>
      </c>
      <c r="G403" s="22">
        <v>1132090</v>
      </c>
      <c r="H403" s="23" t="str" cm="1">
        <f t="array" ref="H403">IFERROR(INDEX(단어표[분류],MIN(IF(ISNUMBER(FIND(단어표[포함단어],표3[[#This Row],[내용]])),ROW(단어표[포함단어])-ROW(포함단어시작셀)+1,ROWS(단어표[포함단어])+1))),"")</f>
        <v>생활용품</v>
      </c>
      <c r="I403" s="23" t="str">
        <f>VLOOKUP(H403,분류표[],2,0)</f>
        <v>생활비</v>
      </c>
      <c r="J403" s="24">
        <f t="shared" si="12"/>
        <v>44692</v>
      </c>
      <c r="K403" s="23">
        <f t="shared" si="13"/>
        <v>12</v>
      </c>
    </row>
    <row r="404" spans="1:11">
      <c r="A404" s="21">
        <v>44693</v>
      </c>
      <c r="B404" s="20" t="s">
        <v>61</v>
      </c>
      <c r="C404" s="20" t="s">
        <v>527</v>
      </c>
      <c r="D404" s="22">
        <v>9200</v>
      </c>
      <c r="E404" s="22"/>
      <c r="F404" s="20" t="s">
        <v>493</v>
      </c>
      <c r="G404" s="22">
        <v>1122890</v>
      </c>
      <c r="H404" s="23" t="str" cm="1">
        <f t="array" ref="H404">IFERROR(INDEX(단어표[분류],MIN(IF(ISNUMBER(FIND(단어표[포함단어],표3[[#This Row],[내용]])),ROW(단어표[포함단어])-ROW(포함단어시작셀)+1,ROWS(단어표[포함단어])+1))),"")</f>
        <v>커피</v>
      </c>
      <c r="I404" s="23" t="str">
        <f>VLOOKUP(H404,분류표[],2,0)</f>
        <v>식비</v>
      </c>
      <c r="J404" s="24">
        <f t="shared" si="12"/>
        <v>44693</v>
      </c>
      <c r="K404" s="23">
        <f t="shared" si="13"/>
        <v>16</v>
      </c>
    </row>
    <row r="405" spans="1:11">
      <c r="A405" s="21">
        <v>44693</v>
      </c>
      <c r="B405" s="20" t="s">
        <v>60</v>
      </c>
      <c r="C405" s="20" t="s">
        <v>529</v>
      </c>
      <c r="D405" s="22">
        <v>11500</v>
      </c>
      <c r="E405" s="22"/>
      <c r="F405" s="20" t="s">
        <v>618</v>
      </c>
      <c r="G405" s="22">
        <v>1111390</v>
      </c>
      <c r="H405" s="23" t="str" cm="1">
        <f t="array" ref="H405">IFERROR(INDEX(단어표[분류],MIN(IF(ISNUMBER(FIND(단어표[포함단어],표3[[#This Row],[내용]])),ROW(단어표[포함단어])-ROW(포함단어시작셀)+1,ROWS(단어표[포함단어])+1))),"")</f>
        <v>주식</v>
      </c>
      <c r="I405" s="23" t="str">
        <f>VLOOKUP(H405,분류표[],2,0)</f>
        <v>식비</v>
      </c>
      <c r="J405" s="24">
        <f t="shared" si="12"/>
        <v>44693</v>
      </c>
      <c r="K405" s="23">
        <f t="shared" si="13"/>
        <v>21</v>
      </c>
    </row>
    <row r="406" spans="1:11">
      <c r="A406" s="21">
        <v>44694</v>
      </c>
      <c r="B406" s="20" t="s">
        <v>59</v>
      </c>
      <c r="C406" s="20" t="s">
        <v>529</v>
      </c>
      <c r="D406" s="22">
        <v>21800</v>
      </c>
      <c r="E406" s="22"/>
      <c r="F406" s="20" t="s">
        <v>602</v>
      </c>
      <c r="G406" s="22">
        <v>1089590</v>
      </c>
      <c r="H406" s="23" t="str" cm="1">
        <f t="array" ref="H406">IFERROR(INDEX(단어표[분류],MIN(IF(ISNUMBER(FIND(단어표[포함단어],표3[[#This Row],[내용]])),ROW(단어표[포함단어])-ROW(포함단어시작셀)+1,ROWS(단어표[포함단어])+1))),"")</f>
        <v>주식</v>
      </c>
      <c r="I406" s="23" t="str">
        <f>VLOOKUP(H406,분류표[],2,0)</f>
        <v>식비</v>
      </c>
      <c r="J406" s="24">
        <f t="shared" si="12"/>
        <v>44694</v>
      </c>
      <c r="K406" s="23">
        <f t="shared" si="13"/>
        <v>2</v>
      </c>
    </row>
    <row r="407" spans="1:11">
      <c r="A407" s="21">
        <v>44694</v>
      </c>
      <c r="B407" s="20" t="s">
        <v>58</v>
      </c>
      <c r="C407" s="20" t="s">
        <v>527</v>
      </c>
      <c r="D407" s="22">
        <v>4300</v>
      </c>
      <c r="E407" s="22"/>
      <c r="F407" s="20" t="s">
        <v>492</v>
      </c>
      <c r="G407" s="22">
        <v>1085290</v>
      </c>
      <c r="H407" s="23" t="str" cm="1">
        <f t="array" ref="H407">IFERROR(INDEX(단어표[분류],MIN(IF(ISNUMBER(FIND(단어표[포함단어],표3[[#This Row],[내용]])),ROW(단어표[포함단어])-ROW(포함단어시작셀)+1,ROWS(단어표[포함단어])+1))),"")</f>
        <v>기타식료품</v>
      </c>
      <c r="I407" s="23" t="str">
        <f>VLOOKUP(H407,분류표[],2,0)</f>
        <v>식비</v>
      </c>
      <c r="J407" s="24">
        <f t="shared" si="12"/>
        <v>44694</v>
      </c>
      <c r="K407" s="23">
        <f t="shared" si="13"/>
        <v>4</v>
      </c>
    </row>
    <row r="408" spans="1:11">
      <c r="A408" s="21">
        <v>44694</v>
      </c>
      <c r="B408" s="20" t="s">
        <v>57</v>
      </c>
      <c r="C408" s="20" t="s">
        <v>460</v>
      </c>
      <c r="D408" s="22">
        <v>266800</v>
      </c>
      <c r="E408" s="22"/>
      <c r="F408" s="20" t="s">
        <v>481</v>
      </c>
      <c r="G408" s="22">
        <v>818490</v>
      </c>
      <c r="H408" s="23" t="str" cm="1">
        <f t="array" ref="H408">IFERROR(INDEX(단어표[분류],MIN(IF(ISNUMBER(FIND(단어표[포함단어],표3[[#This Row],[내용]])),ROW(단어표[포함단어])-ROW(포함단어시작셀)+1,ROWS(단어표[포함단어])+1))),"")</f>
        <v>학원비</v>
      </c>
      <c r="I408" s="23" t="str">
        <f>VLOOKUP(H408,분류표[],2,0)</f>
        <v>교육비</v>
      </c>
      <c r="J408" s="24">
        <f t="shared" ref="J408:J439" si="14">A408</f>
        <v>44694</v>
      </c>
      <c r="K408" s="23">
        <f t="shared" ref="K408:K439" si="15">HOUR(B408)</f>
        <v>10</v>
      </c>
    </row>
    <row r="409" spans="1:11">
      <c r="A409" s="21">
        <v>44694</v>
      </c>
      <c r="B409" s="20" t="s">
        <v>56</v>
      </c>
      <c r="C409" s="20" t="s">
        <v>527</v>
      </c>
      <c r="D409" s="22">
        <v>24900</v>
      </c>
      <c r="E409" s="22"/>
      <c r="F409" s="20" t="s">
        <v>467</v>
      </c>
      <c r="G409" s="22">
        <v>793590</v>
      </c>
      <c r="H409" s="23" t="str" cm="1">
        <f t="array" ref="H409">IFERROR(INDEX(단어표[분류],MIN(IF(ISNUMBER(FIND(단어표[포함단어],표3[[#This Row],[내용]])),ROW(단어표[포함단어])-ROW(포함단어시작셀)+1,ROWS(단어표[포함단어])+1))),"")</f>
        <v>화장품</v>
      </c>
      <c r="I409" s="23" t="str">
        <f>VLOOKUP(H409,분류표[],2,0)</f>
        <v>생활비</v>
      </c>
      <c r="J409" s="24">
        <f t="shared" si="14"/>
        <v>44694</v>
      </c>
      <c r="K409" s="23">
        <f t="shared" si="15"/>
        <v>15</v>
      </c>
    </row>
    <row r="410" spans="1:11">
      <c r="A410" s="21">
        <v>44694</v>
      </c>
      <c r="B410" s="20" t="s">
        <v>55</v>
      </c>
      <c r="C410" s="20" t="s">
        <v>527</v>
      </c>
      <c r="D410" s="22">
        <v>4600</v>
      </c>
      <c r="E410" s="22"/>
      <c r="F410" s="20" t="s">
        <v>493</v>
      </c>
      <c r="G410" s="22">
        <v>788990</v>
      </c>
      <c r="H410" s="23" t="str" cm="1">
        <f t="array" ref="H410">IFERROR(INDEX(단어표[분류],MIN(IF(ISNUMBER(FIND(단어표[포함단어],표3[[#This Row],[내용]])),ROW(단어표[포함단어])-ROW(포함단어시작셀)+1,ROWS(단어표[포함단어])+1))),"")</f>
        <v>커피</v>
      </c>
      <c r="I410" s="23" t="str">
        <f>VLOOKUP(H410,분류표[],2,0)</f>
        <v>식비</v>
      </c>
      <c r="J410" s="24">
        <f t="shared" si="14"/>
        <v>44694</v>
      </c>
      <c r="K410" s="23">
        <f t="shared" si="15"/>
        <v>15</v>
      </c>
    </row>
    <row r="411" spans="1:11">
      <c r="A411" s="21">
        <v>44695</v>
      </c>
      <c r="B411" s="20" t="s">
        <v>54</v>
      </c>
      <c r="C411" s="20" t="s">
        <v>527</v>
      </c>
      <c r="D411" s="22">
        <v>2400</v>
      </c>
      <c r="E411" s="22"/>
      <c r="F411" s="20" t="s">
        <v>474</v>
      </c>
      <c r="G411" s="22">
        <v>786590</v>
      </c>
      <c r="H411" s="23" t="str" cm="1">
        <f t="array" ref="H411">IFERROR(INDEX(단어표[분류],MIN(IF(ISNUMBER(FIND(단어표[포함단어],표3[[#This Row],[내용]])),ROW(단어표[포함단어])-ROW(포함단어시작셀)+1,ROWS(단어표[포함단어])+1))),"")</f>
        <v>생활용품</v>
      </c>
      <c r="I411" s="23" t="str">
        <f>VLOOKUP(H411,분류표[],2,0)</f>
        <v>생활비</v>
      </c>
      <c r="J411" s="24">
        <f t="shared" si="14"/>
        <v>44695</v>
      </c>
      <c r="K411" s="23">
        <f t="shared" si="15"/>
        <v>23</v>
      </c>
    </row>
    <row r="412" spans="1:11">
      <c r="A412" s="21">
        <v>44695</v>
      </c>
      <c r="B412" s="20" t="s">
        <v>53</v>
      </c>
      <c r="C412" s="20" t="s">
        <v>460</v>
      </c>
      <c r="D412" s="22">
        <v>3400</v>
      </c>
      <c r="E412" s="22"/>
      <c r="F412" s="20" t="s">
        <v>501</v>
      </c>
      <c r="G412" s="22">
        <v>783190</v>
      </c>
      <c r="H412" s="23" t="str" cm="1">
        <f t="array" ref="H412">IFERROR(INDEX(단어표[분류],MIN(IF(ISNUMBER(FIND(단어표[포함단어],표3[[#This Row],[내용]])),ROW(단어표[포함단어])-ROW(포함단어시작셀)+1,ROWS(단어표[포함단어])+1))),"")</f>
        <v>주식</v>
      </c>
      <c r="I412" s="23" t="str">
        <f>VLOOKUP(H412,분류표[],2,0)</f>
        <v>식비</v>
      </c>
      <c r="J412" s="24">
        <f t="shared" si="14"/>
        <v>44695</v>
      </c>
      <c r="K412" s="23">
        <f t="shared" si="15"/>
        <v>23</v>
      </c>
    </row>
    <row r="413" spans="1:11">
      <c r="A413" s="21">
        <v>44697</v>
      </c>
      <c r="B413" s="20" t="s">
        <v>52</v>
      </c>
      <c r="C413" s="20" t="s">
        <v>529</v>
      </c>
      <c r="D413" s="22">
        <v>20200</v>
      </c>
      <c r="E413" s="22"/>
      <c r="F413" s="20" t="s">
        <v>597</v>
      </c>
      <c r="G413" s="22">
        <v>762990</v>
      </c>
      <c r="H413" s="23" t="str" cm="1">
        <f t="array" ref="H413">IFERROR(INDEX(단어표[분류],MIN(IF(ISNUMBER(FIND(단어표[포함단어],표3[[#This Row],[내용]])),ROW(단어표[포함단어])-ROW(포함단어시작셀)+1,ROWS(단어표[포함단어])+1))),"")</f>
        <v>주식</v>
      </c>
      <c r="I413" s="23" t="str">
        <f>VLOOKUP(H413,분류표[],2,0)</f>
        <v>식비</v>
      </c>
      <c r="J413" s="24">
        <f t="shared" si="14"/>
        <v>44697</v>
      </c>
      <c r="K413" s="23">
        <f t="shared" si="15"/>
        <v>22</v>
      </c>
    </row>
    <row r="414" spans="1:11">
      <c r="A414" s="21">
        <v>44698</v>
      </c>
      <c r="B414" s="20" t="s">
        <v>51</v>
      </c>
      <c r="C414" s="20" t="s">
        <v>527</v>
      </c>
      <c r="D414" s="22">
        <v>4200</v>
      </c>
      <c r="E414" s="22"/>
      <c r="F414" s="20" t="s">
        <v>493</v>
      </c>
      <c r="G414" s="22">
        <v>758790</v>
      </c>
      <c r="H414" s="23" t="str" cm="1">
        <f t="array" ref="H414">IFERROR(INDEX(단어표[분류],MIN(IF(ISNUMBER(FIND(단어표[포함단어],표3[[#This Row],[내용]])),ROW(단어표[포함단어])-ROW(포함단어시작셀)+1,ROWS(단어표[포함단어])+1))),"")</f>
        <v>커피</v>
      </c>
      <c r="I414" s="23" t="str">
        <f>VLOOKUP(H414,분류표[],2,0)</f>
        <v>식비</v>
      </c>
      <c r="J414" s="24">
        <f t="shared" si="14"/>
        <v>44698</v>
      </c>
      <c r="K414" s="23">
        <f t="shared" si="15"/>
        <v>18</v>
      </c>
    </row>
    <row r="415" spans="1:11">
      <c r="A415" s="21">
        <v>44698</v>
      </c>
      <c r="B415" s="20" t="s">
        <v>50</v>
      </c>
      <c r="C415" s="20" t="s">
        <v>527</v>
      </c>
      <c r="D415" s="22">
        <v>2100</v>
      </c>
      <c r="E415" s="22"/>
      <c r="F415" s="20" t="s">
        <v>456</v>
      </c>
      <c r="G415" s="22">
        <v>756690</v>
      </c>
      <c r="H415" s="23" t="str" cm="1">
        <f t="array" ref="H415">IFERROR(INDEX(단어표[분류],MIN(IF(ISNUMBER(FIND(단어표[포함단어],표3[[#This Row],[내용]])),ROW(단어표[포함단어])-ROW(포함단어시작셀)+1,ROWS(단어표[포함단어])+1))),"")</f>
        <v>간식</v>
      </c>
      <c r="I415" s="23" t="str">
        <f>VLOOKUP(H415,분류표[],2,0)</f>
        <v>식비</v>
      </c>
      <c r="J415" s="24">
        <f t="shared" si="14"/>
        <v>44698</v>
      </c>
      <c r="K415" s="23">
        <f t="shared" si="15"/>
        <v>21</v>
      </c>
    </row>
    <row r="416" spans="1:11">
      <c r="A416" s="21">
        <v>44699</v>
      </c>
      <c r="B416" s="20" t="s">
        <v>49</v>
      </c>
      <c r="C416" s="20" t="s">
        <v>527</v>
      </c>
      <c r="D416" s="22">
        <v>12900</v>
      </c>
      <c r="E416" s="22"/>
      <c r="F416" s="20" t="s">
        <v>463</v>
      </c>
      <c r="G416" s="22">
        <v>743790</v>
      </c>
      <c r="H416" s="23" t="str" cm="1">
        <f t="array" ref="H416">IFERROR(INDEX(단어표[분류],MIN(IF(ISNUMBER(FIND(단어표[포함단어],표3[[#This Row],[내용]])),ROW(단어표[포함단어])-ROW(포함단어시작셀)+1,ROWS(단어표[포함단어])+1))),"")</f>
        <v>약</v>
      </c>
      <c r="I416" s="23" t="str">
        <f>VLOOKUP(H416,분류표[],2,0)</f>
        <v>의료비</v>
      </c>
      <c r="J416" s="24">
        <f t="shared" si="14"/>
        <v>44699</v>
      </c>
      <c r="K416" s="23">
        <f t="shared" si="15"/>
        <v>13</v>
      </c>
    </row>
    <row r="417" spans="1:11">
      <c r="A417" s="21">
        <v>44699</v>
      </c>
      <c r="B417" s="20" t="s">
        <v>47</v>
      </c>
      <c r="C417" s="20" t="s">
        <v>527</v>
      </c>
      <c r="D417" s="22">
        <v>7000</v>
      </c>
      <c r="E417" s="22"/>
      <c r="F417" s="20" t="s">
        <v>48</v>
      </c>
      <c r="G417" s="22">
        <v>736790</v>
      </c>
      <c r="H417" s="23" t="str" cm="1">
        <f t="array" ref="H417">IFERROR(INDEX(단어표[분류],MIN(IF(ISNUMBER(FIND(단어표[포함단어],표3[[#This Row],[내용]])),ROW(단어표[포함단어])-ROW(포함단어시작셀)+1,ROWS(단어표[포함단어])+1))),"")</f>
        <v>커피</v>
      </c>
      <c r="I417" s="23" t="str">
        <f>VLOOKUP(H417,분류표[],2,0)</f>
        <v>식비</v>
      </c>
      <c r="J417" s="24">
        <f t="shared" si="14"/>
        <v>44699</v>
      </c>
      <c r="K417" s="23">
        <f t="shared" si="15"/>
        <v>13</v>
      </c>
    </row>
    <row r="418" spans="1:11">
      <c r="A418" s="21">
        <v>44699</v>
      </c>
      <c r="B418" s="20" t="s">
        <v>46</v>
      </c>
      <c r="C418" s="20" t="s">
        <v>527</v>
      </c>
      <c r="D418" s="22">
        <v>4900</v>
      </c>
      <c r="E418" s="22"/>
      <c r="F418" s="20" t="s">
        <v>448</v>
      </c>
      <c r="G418" s="22">
        <v>731890</v>
      </c>
      <c r="H418" s="23" t="str" cm="1">
        <f t="array" ref="H418">IFERROR(INDEX(단어표[분류],MIN(IF(ISNUMBER(FIND(단어표[포함단어],표3[[#This Row],[내용]])),ROW(단어표[포함단어])-ROW(포함단어시작셀)+1,ROWS(단어표[포함단어])+1))),"")</f>
        <v>주식</v>
      </c>
      <c r="I418" s="23" t="str">
        <f>VLOOKUP(H418,분류표[],2,0)</f>
        <v>식비</v>
      </c>
      <c r="J418" s="24">
        <f t="shared" si="14"/>
        <v>44699</v>
      </c>
      <c r="K418" s="23">
        <f t="shared" si="15"/>
        <v>17</v>
      </c>
    </row>
    <row r="419" spans="1:11">
      <c r="A419" s="21">
        <v>44700</v>
      </c>
      <c r="B419" s="20" t="s">
        <v>45</v>
      </c>
      <c r="C419" s="20" t="s">
        <v>460</v>
      </c>
      <c r="D419" s="22">
        <v>82400</v>
      </c>
      <c r="E419" s="22"/>
      <c r="F419" s="20" t="s">
        <v>517</v>
      </c>
      <c r="G419" s="22">
        <v>649490</v>
      </c>
      <c r="H419" s="23" t="str" cm="1">
        <f t="array" ref="H419">IFERROR(INDEX(단어표[분류],MIN(IF(ISNUMBER(FIND(단어표[포함단어],표3[[#This Row],[내용]])),ROW(단어표[포함단어])-ROW(포함단어시작셀)+1,ROWS(단어표[포함단어])+1))),"")</f>
        <v>휴대폰</v>
      </c>
      <c r="I419" s="23" t="str">
        <f>VLOOKUP(H419,분류표[],2,0)</f>
        <v>통신비</v>
      </c>
      <c r="J419" s="24">
        <f t="shared" si="14"/>
        <v>44700</v>
      </c>
      <c r="K419" s="23">
        <f t="shared" si="15"/>
        <v>13</v>
      </c>
    </row>
    <row r="420" spans="1:11">
      <c r="A420" s="21">
        <v>44700</v>
      </c>
      <c r="B420" s="20" t="s">
        <v>44</v>
      </c>
      <c r="C420" s="20" t="s">
        <v>527</v>
      </c>
      <c r="D420" s="22">
        <v>4300</v>
      </c>
      <c r="E420" s="22"/>
      <c r="F420" s="20" t="s">
        <v>493</v>
      </c>
      <c r="G420" s="22">
        <v>645190</v>
      </c>
      <c r="H420" s="23" t="str" cm="1">
        <f t="array" ref="H420">IFERROR(INDEX(단어표[분류],MIN(IF(ISNUMBER(FIND(단어표[포함단어],표3[[#This Row],[내용]])),ROW(단어표[포함단어])-ROW(포함단어시작셀)+1,ROWS(단어표[포함단어])+1))),"")</f>
        <v>커피</v>
      </c>
      <c r="I420" s="23" t="str">
        <f>VLOOKUP(H420,분류표[],2,0)</f>
        <v>식비</v>
      </c>
      <c r="J420" s="24">
        <f t="shared" si="14"/>
        <v>44700</v>
      </c>
      <c r="K420" s="23">
        <f t="shared" si="15"/>
        <v>18</v>
      </c>
    </row>
    <row r="421" spans="1:11">
      <c r="A421" s="21">
        <v>44701</v>
      </c>
      <c r="B421" s="20" t="s">
        <v>43</v>
      </c>
      <c r="C421" s="20" t="s">
        <v>527</v>
      </c>
      <c r="D421" s="22">
        <v>45500</v>
      </c>
      <c r="E421" s="22"/>
      <c r="F421" s="20" t="s">
        <v>452</v>
      </c>
      <c r="G421" s="22">
        <v>599690</v>
      </c>
      <c r="H421" s="23" t="str" cm="1">
        <f t="array" ref="H421">IFERROR(INDEX(단어표[분류],MIN(IF(ISNUMBER(FIND(단어표[포함단어],표3[[#This Row],[내용]])),ROW(단어표[포함단어])-ROW(포함단어시작셀)+1,ROWS(단어표[포함단어])+1))),"")</f>
        <v>선물</v>
      </c>
      <c r="I421" s="23" t="str">
        <f>VLOOKUP(H421,분류표[],2,0)</f>
        <v>경조사비</v>
      </c>
      <c r="J421" s="24">
        <f t="shared" si="14"/>
        <v>44701</v>
      </c>
      <c r="K421" s="23">
        <f t="shared" si="15"/>
        <v>17</v>
      </c>
    </row>
    <row r="422" spans="1:11">
      <c r="A422" s="21">
        <v>44701</v>
      </c>
      <c r="B422" s="20" t="s">
        <v>42</v>
      </c>
      <c r="C422" s="20" t="s">
        <v>527</v>
      </c>
      <c r="D422" s="22">
        <v>9300</v>
      </c>
      <c r="E422" s="22"/>
      <c r="F422" s="20" t="s">
        <v>464</v>
      </c>
      <c r="G422" s="22">
        <v>590390</v>
      </c>
      <c r="H422" s="23" t="str" cm="1">
        <f t="array" ref="H422">IFERROR(INDEX(단어표[분류],MIN(IF(ISNUMBER(FIND(단어표[포함단어],표3[[#This Row],[내용]])),ROW(단어표[포함단어])-ROW(포함단어시작셀)+1,ROWS(단어표[포함단어])+1))),"")</f>
        <v>주식</v>
      </c>
      <c r="I422" s="23" t="str">
        <f>VLOOKUP(H422,분류표[],2,0)</f>
        <v>식비</v>
      </c>
      <c r="J422" s="24">
        <f t="shared" si="14"/>
        <v>44701</v>
      </c>
      <c r="K422" s="23">
        <f t="shared" si="15"/>
        <v>22</v>
      </c>
    </row>
    <row r="423" spans="1:11">
      <c r="A423" s="21">
        <v>44701</v>
      </c>
      <c r="B423" s="20" t="s">
        <v>41</v>
      </c>
      <c r="C423" s="20" t="s">
        <v>527</v>
      </c>
      <c r="D423" s="22">
        <v>3200</v>
      </c>
      <c r="E423" s="22"/>
      <c r="F423" s="20" t="s">
        <v>492</v>
      </c>
      <c r="G423" s="22">
        <v>587190</v>
      </c>
      <c r="H423" s="23" t="str" cm="1">
        <f t="array" ref="H423">IFERROR(INDEX(단어표[분류],MIN(IF(ISNUMBER(FIND(단어표[포함단어],표3[[#This Row],[내용]])),ROW(단어표[포함단어])-ROW(포함단어시작셀)+1,ROWS(단어표[포함단어])+1))),"")</f>
        <v>기타식료품</v>
      </c>
      <c r="I423" s="23" t="str">
        <f>VLOOKUP(H423,분류표[],2,0)</f>
        <v>식비</v>
      </c>
      <c r="J423" s="24">
        <f t="shared" si="14"/>
        <v>44701</v>
      </c>
      <c r="K423" s="23">
        <f t="shared" si="15"/>
        <v>22</v>
      </c>
    </row>
    <row r="424" spans="1:11">
      <c r="A424" s="21">
        <v>44702</v>
      </c>
      <c r="B424" s="20" t="s">
        <v>40</v>
      </c>
      <c r="C424" s="20" t="s">
        <v>527</v>
      </c>
      <c r="D424" s="22">
        <v>16600</v>
      </c>
      <c r="E424" s="22"/>
      <c r="F424" s="20" t="s">
        <v>486</v>
      </c>
      <c r="G424" s="22">
        <v>570590</v>
      </c>
      <c r="H424" s="23" t="str" cm="1">
        <f t="array" ref="H424">IFERROR(INDEX(단어표[분류],MIN(IF(ISNUMBER(FIND(단어표[포함단어],표3[[#This Row],[내용]])),ROW(단어표[포함단어])-ROW(포함단어시작셀)+1,ROWS(단어표[포함단어])+1))),"")</f>
        <v>업무관련</v>
      </c>
      <c r="I424" s="23" t="str">
        <f>VLOOKUP(H424,분류표[],2,0)</f>
        <v>사업운영비</v>
      </c>
      <c r="J424" s="24">
        <f t="shared" si="14"/>
        <v>44702</v>
      </c>
      <c r="K424" s="23">
        <f t="shared" si="15"/>
        <v>9</v>
      </c>
    </row>
    <row r="425" spans="1:11">
      <c r="A425" s="21">
        <v>44702</v>
      </c>
      <c r="B425" s="20" t="s">
        <v>39</v>
      </c>
      <c r="C425" s="20" t="s">
        <v>527</v>
      </c>
      <c r="D425" s="22">
        <v>10800</v>
      </c>
      <c r="E425" s="22"/>
      <c r="F425" s="20" t="s">
        <v>459</v>
      </c>
      <c r="G425" s="22">
        <v>559790</v>
      </c>
      <c r="H425" s="23" t="str" cm="1">
        <f t="array" ref="H425">IFERROR(INDEX(단어표[분류],MIN(IF(ISNUMBER(FIND(단어표[포함단어],표3[[#This Row],[내용]])),ROW(단어표[포함단어])-ROW(포함단어시작셀)+1,ROWS(단어표[포함단어])+1))),"")</f>
        <v>구독서비스</v>
      </c>
      <c r="I425" s="23" t="str">
        <f>VLOOKUP(H425,분류표[],2,0)</f>
        <v>생활비</v>
      </c>
      <c r="J425" s="24">
        <f t="shared" si="14"/>
        <v>44702</v>
      </c>
      <c r="K425" s="23">
        <f t="shared" si="15"/>
        <v>10</v>
      </c>
    </row>
    <row r="426" spans="1:11">
      <c r="A426" s="21">
        <v>44702</v>
      </c>
      <c r="B426" s="20" t="s">
        <v>38</v>
      </c>
      <c r="C426" s="20" t="s">
        <v>527</v>
      </c>
      <c r="D426" s="22">
        <v>39700</v>
      </c>
      <c r="E426" s="22"/>
      <c r="F426" s="20" t="s">
        <v>453</v>
      </c>
      <c r="G426" s="22">
        <v>520090</v>
      </c>
      <c r="H426" s="23" t="str" cm="1">
        <f t="array" ref="H426">IFERROR(INDEX(단어표[분류],MIN(IF(ISNUMBER(FIND(단어표[포함단어],표3[[#This Row],[내용]])),ROW(단어표[포함단어])-ROW(포함단어시작셀)+1,ROWS(단어표[포함단어])+1))),"")</f>
        <v>업무관련</v>
      </c>
      <c r="I426" s="23" t="str">
        <f>VLOOKUP(H426,분류표[],2,0)</f>
        <v>사업운영비</v>
      </c>
      <c r="J426" s="24">
        <f t="shared" si="14"/>
        <v>44702</v>
      </c>
      <c r="K426" s="23">
        <f t="shared" si="15"/>
        <v>16</v>
      </c>
    </row>
    <row r="427" spans="1:11">
      <c r="A427" s="21">
        <v>44702</v>
      </c>
      <c r="B427" s="20" t="s">
        <v>37</v>
      </c>
      <c r="C427" s="20" t="s">
        <v>527</v>
      </c>
      <c r="D427" s="22">
        <v>5000</v>
      </c>
      <c r="E427" s="22"/>
      <c r="F427" s="20" t="s">
        <v>493</v>
      </c>
      <c r="G427" s="22">
        <v>515090</v>
      </c>
      <c r="H427" s="23" t="str" cm="1">
        <f t="array" ref="H427">IFERROR(INDEX(단어표[분류],MIN(IF(ISNUMBER(FIND(단어표[포함단어],표3[[#This Row],[내용]])),ROW(단어표[포함단어])-ROW(포함단어시작셀)+1,ROWS(단어표[포함단어])+1))),"")</f>
        <v>커피</v>
      </c>
      <c r="I427" s="23" t="str">
        <f>VLOOKUP(H427,분류표[],2,0)</f>
        <v>식비</v>
      </c>
      <c r="J427" s="24">
        <f t="shared" si="14"/>
        <v>44702</v>
      </c>
      <c r="K427" s="23">
        <f t="shared" si="15"/>
        <v>19</v>
      </c>
    </row>
    <row r="428" spans="1:11">
      <c r="A428" s="21">
        <v>44703</v>
      </c>
      <c r="B428" s="20" t="s">
        <v>36</v>
      </c>
      <c r="C428" s="20" t="s">
        <v>527</v>
      </c>
      <c r="D428" s="22">
        <v>5600</v>
      </c>
      <c r="E428" s="22"/>
      <c r="F428" s="20" t="s">
        <v>493</v>
      </c>
      <c r="G428" s="22">
        <v>509490</v>
      </c>
      <c r="H428" s="23" t="str" cm="1">
        <f t="array" ref="H428">IFERROR(INDEX(단어표[분류],MIN(IF(ISNUMBER(FIND(단어표[포함단어],표3[[#This Row],[내용]])),ROW(단어표[포함단어])-ROW(포함단어시작셀)+1,ROWS(단어표[포함단어])+1))),"")</f>
        <v>커피</v>
      </c>
      <c r="I428" s="23" t="str">
        <f>VLOOKUP(H428,분류표[],2,0)</f>
        <v>식비</v>
      </c>
      <c r="J428" s="24">
        <f t="shared" si="14"/>
        <v>44703</v>
      </c>
      <c r="K428" s="23">
        <f t="shared" si="15"/>
        <v>16</v>
      </c>
    </row>
    <row r="429" spans="1:11">
      <c r="A429" s="21">
        <v>44703</v>
      </c>
      <c r="B429" s="20" t="s">
        <v>34</v>
      </c>
      <c r="C429" s="20" t="s">
        <v>527</v>
      </c>
      <c r="D429" s="22">
        <v>113400</v>
      </c>
      <c r="E429" s="22"/>
      <c r="F429" s="20" t="s">
        <v>35</v>
      </c>
      <c r="G429" s="22">
        <v>396090</v>
      </c>
      <c r="H429" s="23" t="str" cm="1">
        <f t="array" ref="H429">IFERROR(INDEX(단어표[분류],MIN(IF(ISNUMBER(FIND(단어표[포함단어],표3[[#This Row],[내용]])),ROW(단어표[포함단어])-ROW(포함단어시작셀)+1,ROWS(단어표[포함단어])+1))),"")</f>
        <v>건강식품</v>
      </c>
      <c r="I429" s="23" t="str">
        <f>VLOOKUP(H429,분류표[],2,0)</f>
        <v>식비</v>
      </c>
      <c r="J429" s="24">
        <f t="shared" si="14"/>
        <v>44703</v>
      </c>
      <c r="K429" s="23">
        <f t="shared" si="15"/>
        <v>18</v>
      </c>
    </row>
    <row r="430" spans="1:11">
      <c r="A430" s="21">
        <v>44703</v>
      </c>
      <c r="B430" s="20" t="s">
        <v>33</v>
      </c>
      <c r="C430" s="20" t="s">
        <v>529</v>
      </c>
      <c r="D430" s="22">
        <v>8500</v>
      </c>
      <c r="E430" s="22"/>
      <c r="F430" s="20" t="s">
        <v>605</v>
      </c>
      <c r="G430" s="22">
        <v>387590</v>
      </c>
      <c r="H430" s="23" t="str" cm="1">
        <f t="array" ref="H430">IFERROR(INDEX(단어표[분류],MIN(IF(ISNUMBER(FIND(단어표[포함단어],표3[[#This Row],[내용]])),ROW(단어표[포함단어])-ROW(포함단어시작셀)+1,ROWS(단어표[포함단어])+1))),"")</f>
        <v>커피</v>
      </c>
      <c r="I430" s="23" t="str">
        <f>VLOOKUP(H430,분류표[],2,0)</f>
        <v>식비</v>
      </c>
      <c r="J430" s="24">
        <f t="shared" si="14"/>
        <v>44703</v>
      </c>
      <c r="K430" s="23">
        <f t="shared" si="15"/>
        <v>20</v>
      </c>
    </row>
    <row r="431" spans="1:11">
      <c r="A431" s="21">
        <v>44703</v>
      </c>
      <c r="B431" s="20" t="s">
        <v>32</v>
      </c>
      <c r="C431" s="20" t="s">
        <v>527</v>
      </c>
      <c r="D431" s="22">
        <v>4200</v>
      </c>
      <c r="E431" s="22"/>
      <c r="F431" s="20" t="s">
        <v>496</v>
      </c>
      <c r="G431" s="22">
        <v>383390</v>
      </c>
      <c r="H431" s="23" t="str" cm="1">
        <f t="array" ref="H431">IFERROR(INDEX(단어표[분류],MIN(IF(ISNUMBER(FIND(단어표[포함단어],표3[[#This Row],[내용]])),ROW(단어표[포함단어])-ROW(포함단어시작셀)+1,ROWS(단어표[포함단어])+1))),"")</f>
        <v>기타생활비</v>
      </c>
      <c r="I431" s="23" t="str">
        <f>VLOOKUP(H431,분류표[],2,0)</f>
        <v>생활비</v>
      </c>
      <c r="J431" s="24">
        <f t="shared" si="14"/>
        <v>44703</v>
      </c>
      <c r="K431" s="23">
        <f t="shared" si="15"/>
        <v>20</v>
      </c>
    </row>
    <row r="432" spans="1:11">
      <c r="A432" s="21">
        <v>44704</v>
      </c>
      <c r="B432" s="20" t="s">
        <v>30</v>
      </c>
      <c r="C432" s="20" t="s">
        <v>527</v>
      </c>
      <c r="D432" s="22">
        <v>1800</v>
      </c>
      <c r="E432" s="22"/>
      <c r="F432" s="20" t="s">
        <v>31</v>
      </c>
      <c r="G432" s="22">
        <v>381590</v>
      </c>
      <c r="H432" s="23" t="str" cm="1">
        <f t="array" ref="H432">IFERROR(INDEX(단어표[분류],MIN(IF(ISNUMBER(FIND(단어표[포함단어],표3[[#This Row],[내용]])),ROW(단어표[포함단어])-ROW(포함단어시작셀)+1,ROWS(단어표[포함단어])+1))),"")</f>
        <v>구독서비스</v>
      </c>
      <c r="I432" s="23" t="str">
        <f>VLOOKUP(H432,분류표[],2,0)</f>
        <v>생활비</v>
      </c>
      <c r="J432" s="24">
        <f t="shared" si="14"/>
        <v>44704</v>
      </c>
      <c r="K432" s="23">
        <f t="shared" si="15"/>
        <v>2</v>
      </c>
    </row>
    <row r="433" spans="1:11">
      <c r="A433" s="21">
        <v>44704</v>
      </c>
      <c r="B433" s="20" t="s">
        <v>29</v>
      </c>
      <c r="C433" s="20" t="s">
        <v>527</v>
      </c>
      <c r="D433" s="22">
        <v>2100</v>
      </c>
      <c r="E433" s="22"/>
      <c r="F433" s="20" t="s">
        <v>492</v>
      </c>
      <c r="G433" s="22">
        <v>379490</v>
      </c>
      <c r="H433" s="23" t="str" cm="1">
        <f t="array" ref="H433">IFERROR(INDEX(단어표[분류],MIN(IF(ISNUMBER(FIND(단어표[포함단어],표3[[#This Row],[내용]])),ROW(단어표[포함단어])-ROW(포함단어시작셀)+1,ROWS(단어표[포함단어])+1))),"")</f>
        <v>기타식료품</v>
      </c>
      <c r="I433" s="23" t="str">
        <f>VLOOKUP(H433,분류표[],2,0)</f>
        <v>식비</v>
      </c>
      <c r="J433" s="24">
        <f t="shared" si="14"/>
        <v>44704</v>
      </c>
      <c r="K433" s="23">
        <f t="shared" si="15"/>
        <v>21</v>
      </c>
    </row>
    <row r="434" spans="1:11">
      <c r="A434" s="21">
        <v>44706</v>
      </c>
      <c r="B434" s="25">
        <v>0.41961805555555554</v>
      </c>
      <c r="C434" s="20" t="s">
        <v>529</v>
      </c>
      <c r="D434" s="22"/>
      <c r="E434" s="22">
        <v>2629000</v>
      </c>
      <c r="F434" s="20" t="s">
        <v>528</v>
      </c>
      <c r="G434" s="22">
        <v>3008490</v>
      </c>
      <c r="H434" s="23" t="str" cm="1">
        <f t="array" ref="H434">IFERROR(INDEX(단어표[분류],MIN(IF(ISNUMBER(FIND(단어표[포함단어],표3[[#This Row],[내용]])),ROW(단어표[포함단어])-ROW(포함단어시작셀)+1,ROWS(단어표[포함단어])+1))),"")</f>
        <v>급여</v>
      </c>
      <c r="I434" s="23" t="str">
        <f>VLOOKUP(H434,분류표[],2,0)</f>
        <v>수입</v>
      </c>
      <c r="J434" s="24">
        <f t="shared" si="14"/>
        <v>44706</v>
      </c>
      <c r="K434" s="23">
        <f t="shared" si="15"/>
        <v>10</v>
      </c>
    </row>
    <row r="435" spans="1:11">
      <c r="A435" s="21">
        <v>44706</v>
      </c>
      <c r="B435" s="25">
        <v>0.42745370370370367</v>
      </c>
      <c r="C435" s="20" t="s">
        <v>642</v>
      </c>
      <c r="D435" s="22">
        <v>450000</v>
      </c>
      <c r="E435" s="22"/>
      <c r="F435" s="20" t="s">
        <v>647</v>
      </c>
      <c r="G435" s="22">
        <v>2558490</v>
      </c>
      <c r="H435" s="23" t="str" cm="1">
        <f t="array" ref="H435">IFERROR(INDEX(단어표[분류],MIN(IF(ISNUMBER(FIND(단어표[포함단어],표3[[#This Row],[내용]])),ROW(단어표[포함단어])-ROW(포함단어시작셀)+1,ROWS(단어표[포함단어])+1))),"")</f>
        <v>예적금</v>
      </c>
      <c r="I435" s="23" t="str">
        <f>VLOOKUP(H435,분류표[],2,0)</f>
        <v>투자비</v>
      </c>
      <c r="J435" s="24">
        <f t="shared" si="14"/>
        <v>44706</v>
      </c>
      <c r="K435" s="23">
        <f t="shared" si="15"/>
        <v>10</v>
      </c>
    </row>
    <row r="436" spans="1:11">
      <c r="A436" s="21">
        <v>44706</v>
      </c>
      <c r="B436" s="20" t="s">
        <v>27</v>
      </c>
      <c r="C436" s="20" t="s">
        <v>527</v>
      </c>
      <c r="D436" s="22">
        <v>8500</v>
      </c>
      <c r="E436" s="22"/>
      <c r="F436" s="20" t="s">
        <v>28</v>
      </c>
      <c r="G436" s="22">
        <v>2549990</v>
      </c>
      <c r="H436" s="23" t="str" cm="1">
        <f t="array" ref="H436">IFERROR(INDEX(단어표[분류],MIN(IF(ISNUMBER(FIND(단어표[포함단어],표3[[#This Row],[내용]])),ROW(단어표[포함단어])-ROW(포함단어시작셀)+1,ROWS(단어표[포함단어])+1))),"")</f>
        <v>주식</v>
      </c>
      <c r="I436" s="23" t="str">
        <f>VLOOKUP(H436,분류표[],2,0)</f>
        <v>식비</v>
      </c>
      <c r="J436" s="24">
        <f t="shared" si="14"/>
        <v>44706</v>
      </c>
      <c r="K436" s="23">
        <f t="shared" si="15"/>
        <v>15</v>
      </c>
    </row>
    <row r="437" spans="1:11">
      <c r="A437" s="21">
        <v>44706</v>
      </c>
      <c r="B437" s="20" t="s">
        <v>26</v>
      </c>
      <c r="C437" s="20" t="s">
        <v>527</v>
      </c>
      <c r="D437" s="22">
        <v>3900</v>
      </c>
      <c r="E437" s="22"/>
      <c r="F437" s="20" t="s">
        <v>493</v>
      </c>
      <c r="G437" s="22">
        <v>2546090</v>
      </c>
      <c r="H437" s="23" t="str" cm="1">
        <f t="array" ref="H437">IFERROR(INDEX(단어표[분류],MIN(IF(ISNUMBER(FIND(단어표[포함단어],표3[[#This Row],[내용]])),ROW(단어표[포함단어])-ROW(포함단어시작셀)+1,ROWS(단어표[포함단어])+1))),"")</f>
        <v>커피</v>
      </c>
      <c r="I437" s="23" t="str">
        <f>VLOOKUP(H437,분류표[],2,0)</f>
        <v>식비</v>
      </c>
      <c r="J437" s="24">
        <f t="shared" si="14"/>
        <v>44706</v>
      </c>
      <c r="K437" s="23">
        <f t="shared" si="15"/>
        <v>15</v>
      </c>
    </row>
    <row r="438" spans="1:11">
      <c r="A438" s="21">
        <v>44706</v>
      </c>
      <c r="B438" s="20" t="s">
        <v>25</v>
      </c>
      <c r="C438" s="20" t="s">
        <v>460</v>
      </c>
      <c r="D438" s="22">
        <v>97400</v>
      </c>
      <c r="E438" s="22"/>
      <c r="F438" s="20" t="s">
        <v>525</v>
      </c>
      <c r="G438" s="22">
        <v>2448690</v>
      </c>
      <c r="H438" s="23" t="str" cm="1">
        <f t="array" ref="H438">IFERROR(INDEX(단어표[분류],MIN(IF(ISNUMBER(FIND(단어표[포함단어],표3[[#This Row],[내용]])),ROW(단어표[포함단어])-ROW(포함단어시작셀)+1,ROWS(단어표[포함단어])+1))),"")</f>
        <v>월세</v>
      </c>
      <c r="I438" s="23" t="str">
        <f>VLOOKUP(H438,분류표[],2,0)</f>
        <v>주거/공과금</v>
      </c>
      <c r="J438" s="24">
        <f t="shared" si="14"/>
        <v>44706</v>
      </c>
      <c r="K438" s="23">
        <f t="shared" si="15"/>
        <v>18</v>
      </c>
    </row>
    <row r="439" spans="1:11">
      <c r="A439" s="21">
        <v>44706</v>
      </c>
      <c r="B439" s="20" t="s">
        <v>24</v>
      </c>
      <c r="C439" s="20" t="s">
        <v>460</v>
      </c>
      <c r="D439" s="22">
        <v>878400</v>
      </c>
      <c r="E439" s="22"/>
      <c r="F439" s="20" t="s">
        <v>526</v>
      </c>
      <c r="G439" s="22">
        <v>1570290</v>
      </c>
      <c r="H439" s="23" t="str" cm="1">
        <f t="array" ref="H439">IFERROR(INDEX(단어표[분류],MIN(IF(ISNUMBER(FIND(단어표[포함단어],표3[[#This Row],[내용]])),ROW(단어표[포함단어])-ROW(포함단어시작셀)+1,ROWS(단어표[포함단어])+1))),"")</f>
        <v>월세</v>
      </c>
      <c r="I439" s="23" t="str">
        <f>VLOOKUP(H439,분류표[],2,0)</f>
        <v>주거/공과금</v>
      </c>
      <c r="J439" s="24">
        <f t="shared" si="14"/>
        <v>44706</v>
      </c>
      <c r="K439" s="23">
        <f t="shared" si="15"/>
        <v>18</v>
      </c>
    </row>
    <row r="440" spans="1:11">
      <c r="A440" s="21">
        <v>44706</v>
      </c>
      <c r="B440" s="20" t="s">
        <v>23</v>
      </c>
      <c r="C440" s="20" t="s">
        <v>460</v>
      </c>
      <c r="D440" s="22">
        <v>16200</v>
      </c>
      <c r="E440" s="22"/>
      <c r="F440" s="20" t="s">
        <v>524</v>
      </c>
      <c r="G440" s="22">
        <v>1554090</v>
      </c>
      <c r="H440" s="23" t="str" cm="1">
        <f t="array" ref="H440">IFERROR(INDEX(단어표[분류],MIN(IF(ISNUMBER(FIND(단어표[포함단어],표3[[#This Row],[내용]])),ROW(단어표[포함단어])-ROW(포함단어시작셀)+1,ROWS(단어표[포함단어])+1))),"")</f>
        <v>월세</v>
      </c>
      <c r="I440" s="23" t="str">
        <f>VLOOKUP(H440,분류표[],2,0)</f>
        <v>주거/공과금</v>
      </c>
      <c r="J440" s="24">
        <f t="shared" ref="J440:J452" si="16">A440</f>
        <v>44706</v>
      </c>
      <c r="K440" s="23">
        <f t="shared" ref="K440:K452" si="17">HOUR(B440)</f>
        <v>18</v>
      </c>
    </row>
    <row r="441" spans="1:11">
      <c r="A441" s="21">
        <v>44706</v>
      </c>
      <c r="B441" s="20" t="s">
        <v>22</v>
      </c>
      <c r="C441" s="20" t="s">
        <v>462</v>
      </c>
      <c r="D441" s="22">
        <v>45000</v>
      </c>
      <c r="E441" s="22"/>
      <c r="F441" s="20" t="s">
        <v>487</v>
      </c>
      <c r="G441" s="22">
        <v>1509090</v>
      </c>
      <c r="H441" s="23" t="str" cm="1">
        <f t="array" ref="H441">IFERROR(INDEX(단어표[분류],MIN(IF(ISNUMBER(FIND(단어표[포함단어],표3[[#This Row],[내용]])),ROW(단어표[포함단어])-ROW(포함단어시작셀)+1,ROWS(단어표[포함단어])+1))),"")</f>
        <v>생명보험</v>
      </c>
      <c r="I441" s="23" t="str">
        <f>VLOOKUP(H441,분류표[],2,0)</f>
        <v>보험비</v>
      </c>
      <c r="J441" s="24">
        <f t="shared" si="16"/>
        <v>44706</v>
      </c>
      <c r="K441" s="23">
        <f t="shared" si="17"/>
        <v>18</v>
      </c>
    </row>
    <row r="442" spans="1:11">
      <c r="A442" s="21">
        <v>44706</v>
      </c>
      <c r="B442" s="20" t="s">
        <v>21</v>
      </c>
      <c r="C442" s="20" t="s">
        <v>529</v>
      </c>
      <c r="D442" s="22">
        <v>33300</v>
      </c>
      <c r="E442" s="22"/>
      <c r="F442" s="20" t="s">
        <v>491</v>
      </c>
      <c r="G442" s="22">
        <v>1475790</v>
      </c>
      <c r="H442" s="23" t="str" cm="1">
        <f t="array" ref="H442">IFERROR(INDEX(단어표[분류],MIN(IF(ISNUMBER(FIND(단어표[포함단어],표3[[#This Row],[내용]])),ROW(단어표[포함단어])-ROW(포함단어시작셀)+1,ROWS(단어표[포함단어])+1))),"")</f>
        <v>기부금</v>
      </c>
      <c r="I442" s="23" t="str">
        <f>VLOOKUP(H442,분류표[],2,0)</f>
        <v>경조사비</v>
      </c>
      <c r="J442" s="24">
        <f t="shared" si="16"/>
        <v>44706</v>
      </c>
      <c r="K442" s="23">
        <f t="shared" si="17"/>
        <v>19</v>
      </c>
    </row>
    <row r="443" spans="1:11">
      <c r="A443" s="21">
        <v>44706</v>
      </c>
      <c r="B443" s="20" t="s">
        <v>20</v>
      </c>
      <c r="C443" s="20" t="s">
        <v>527</v>
      </c>
      <c r="D443" s="22">
        <v>10000</v>
      </c>
      <c r="E443" s="22"/>
      <c r="F443" s="20" t="s">
        <v>452</v>
      </c>
      <c r="G443" s="22">
        <v>1465790</v>
      </c>
      <c r="H443" s="23" t="str" cm="1">
        <f t="array" ref="H443">IFERROR(INDEX(단어표[분류],MIN(IF(ISNUMBER(FIND(단어표[포함단어],표3[[#This Row],[내용]])),ROW(단어표[포함단어])-ROW(포함단어시작셀)+1,ROWS(단어표[포함단어])+1))),"")</f>
        <v>선물</v>
      </c>
      <c r="I443" s="23" t="str">
        <f>VLOOKUP(H443,분류표[],2,0)</f>
        <v>경조사비</v>
      </c>
      <c r="J443" s="24">
        <f t="shared" si="16"/>
        <v>44706</v>
      </c>
      <c r="K443" s="23">
        <f t="shared" si="17"/>
        <v>21</v>
      </c>
    </row>
    <row r="444" spans="1:11">
      <c r="A444" s="21">
        <v>44707</v>
      </c>
      <c r="B444" s="20" t="s">
        <v>18</v>
      </c>
      <c r="C444" s="20" t="s">
        <v>19</v>
      </c>
      <c r="D444" s="22">
        <v>2200</v>
      </c>
      <c r="E444" s="22"/>
      <c r="F444" s="20" t="s">
        <v>517</v>
      </c>
      <c r="G444" s="22">
        <v>1463590</v>
      </c>
      <c r="H444" s="23" t="str" cm="1">
        <f t="array" ref="H444">IFERROR(INDEX(단어표[분류],MIN(IF(ISNUMBER(FIND(단어표[포함단어],표3[[#This Row],[내용]])),ROW(단어표[포함단어])-ROW(포함단어시작셀)+1,ROWS(단어표[포함단어])+1))),"")</f>
        <v>휴대폰</v>
      </c>
      <c r="I444" s="23" t="str">
        <f>VLOOKUP(H444,분류표[],2,0)</f>
        <v>통신비</v>
      </c>
      <c r="J444" s="24">
        <f t="shared" si="16"/>
        <v>44707</v>
      </c>
      <c r="K444" s="23">
        <f t="shared" si="17"/>
        <v>7</v>
      </c>
    </row>
    <row r="445" spans="1:11">
      <c r="A445" s="21">
        <v>44707</v>
      </c>
      <c r="B445" s="20" t="s">
        <v>17</v>
      </c>
      <c r="C445" s="20" t="s">
        <v>527</v>
      </c>
      <c r="D445" s="22">
        <v>4000</v>
      </c>
      <c r="E445" s="22"/>
      <c r="F445" s="20" t="s">
        <v>493</v>
      </c>
      <c r="G445" s="22">
        <v>1459590</v>
      </c>
      <c r="H445" s="23" t="str" cm="1">
        <f t="array" ref="H445">IFERROR(INDEX(단어표[분류],MIN(IF(ISNUMBER(FIND(단어표[포함단어],표3[[#This Row],[내용]])),ROW(단어표[포함단어])-ROW(포함단어시작셀)+1,ROWS(단어표[포함단어])+1))),"")</f>
        <v>커피</v>
      </c>
      <c r="I445" s="23" t="str">
        <f>VLOOKUP(H445,분류표[],2,0)</f>
        <v>식비</v>
      </c>
      <c r="J445" s="24">
        <f t="shared" si="16"/>
        <v>44707</v>
      </c>
      <c r="K445" s="23">
        <f t="shared" si="17"/>
        <v>14</v>
      </c>
    </row>
    <row r="446" spans="1:11">
      <c r="A446" s="21">
        <v>44707</v>
      </c>
      <c r="B446" s="20" t="s">
        <v>16</v>
      </c>
      <c r="C446" s="20" t="s">
        <v>527</v>
      </c>
      <c r="D446" s="22">
        <v>6400</v>
      </c>
      <c r="E446" s="22"/>
      <c r="F446" s="20" t="s">
        <v>496</v>
      </c>
      <c r="G446" s="22">
        <v>1453190</v>
      </c>
      <c r="H446" s="23" t="str" cm="1">
        <f t="array" ref="H446">IFERROR(INDEX(단어표[분류],MIN(IF(ISNUMBER(FIND(단어표[포함단어],표3[[#This Row],[내용]])),ROW(단어표[포함단어])-ROW(포함단어시작셀)+1,ROWS(단어표[포함단어])+1))),"")</f>
        <v>기타생활비</v>
      </c>
      <c r="I446" s="23" t="str">
        <f>VLOOKUP(H446,분류표[],2,0)</f>
        <v>생활비</v>
      </c>
      <c r="J446" s="24">
        <f t="shared" si="16"/>
        <v>44707</v>
      </c>
      <c r="K446" s="23">
        <f t="shared" si="17"/>
        <v>19</v>
      </c>
    </row>
    <row r="447" spans="1:11">
      <c r="A447" s="21">
        <v>44711</v>
      </c>
      <c r="B447" s="20" t="s">
        <v>15</v>
      </c>
      <c r="C447" s="20" t="s">
        <v>527</v>
      </c>
      <c r="D447" s="22">
        <v>4900</v>
      </c>
      <c r="E447" s="22"/>
      <c r="F447" s="20" t="s">
        <v>493</v>
      </c>
      <c r="G447" s="22">
        <v>1448290</v>
      </c>
      <c r="H447" s="23" t="str" cm="1">
        <f t="array" ref="H447">IFERROR(INDEX(단어표[분류],MIN(IF(ISNUMBER(FIND(단어표[포함단어],표3[[#This Row],[내용]])),ROW(단어표[포함단어])-ROW(포함단어시작셀)+1,ROWS(단어표[포함단어])+1))),"")</f>
        <v>커피</v>
      </c>
      <c r="I447" s="23" t="str">
        <f>VLOOKUP(H447,분류표[],2,0)</f>
        <v>식비</v>
      </c>
      <c r="J447" s="24">
        <f t="shared" si="16"/>
        <v>44711</v>
      </c>
      <c r="K447" s="23">
        <f t="shared" si="17"/>
        <v>16</v>
      </c>
    </row>
    <row r="448" spans="1:11">
      <c r="A448" s="21">
        <v>44712</v>
      </c>
      <c r="B448" s="20" t="s">
        <v>14</v>
      </c>
      <c r="C448" s="20" t="s">
        <v>527</v>
      </c>
      <c r="D448" s="22">
        <v>4700</v>
      </c>
      <c r="E448" s="22"/>
      <c r="F448" s="20" t="s">
        <v>492</v>
      </c>
      <c r="G448" s="22">
        <v>1443590</v>
      </c>
      <c r="H448" s="23" t="str" cm="1">
        <f t="array" ref="H448">IFERROR(INDEX(단어표[분류],MIN(IF(ISNUMBER(FIND(단어표[포함단어],표3[[#This Row],[내용]])),ROW(단어표[포함단어])-ROW(포함단어시작셀)+1,ROWS(단어표[포함단어])+1))),"")</f>
        <v>기타식료품</v>
      </c>
      <c r="I448" s="23" t="str">
        <f>VLOOKUP(H448,분류표[],2,0)</f>
        <v>식비</v>
      </c>
      <c r="J448" s="24">
        <f t="shared" si="16"/>
        <v>44712</v>
      </c>
      <c r="K448" s="23">
        <f t="shared" si="17"/>
        <v>0</v>
      </c>
    </row>
    <row r="449" spans="1:11">
      <c r="A449" s="21">
        <v>44712</v>
      </c>
      <c r="B449" s="20" t="s">
        <v>12</v>
      </c>
      <c r="C449" s="20" t="s">
        <v>527</v>
      </c>
      <c r="D449" s="22">
        <v>41700</v>
      </c>
      <c r="E449" s="22"/>
      <c r="F449" s="20" t="s">
        <v>13</v>
      </c>
      <c r="G449" s="22">
        <v>1401890</v>
      </c>
      <c r="H449" s="23" t="str" cm="1">
        <f t="array" ref="H449">IFERROR(INDEX(단어표[분류],MIN(IF(ISNUMBER(FIND(단어표[포함단어],표3[[#This Row],[내용]])),ROW(단어표[포함단어])-ROW(포함단어시작셀)+1,ROWS(단어표[포함단어])+1))),"")</f>
        <v>생활용품</v>
      </c>
      <c r="I449" s="23" t="str">
        <f>VLOOKUP(H449,분류표[],2,0)</f>
        <v>생활비</v>
      </c>
      <c r="J449" s="24">
        <f t="shared" si="16"/>
        <v>44712</v>
      </c>
      <c r="K449" s="23">
        <f t="shared" si="17"/>
        <v>1</v>
      </c>
    </row>
    <row r="450" spans="1:11">
      <c r="A450" s="21">
        <v>44712</v>
      </c>
      <c r="B450" s="20" t="s">
        <v>11</v>
      </c>
      <c r="C450" s="20" t="s">
        <v>529</v>
      </c>
      <c r="D450" s="22">
        <v>21200</v>
      </c>
      <c r="E450" s="22"/>
      <c r="F450" s="20" t="s">
        <v>604</v>
      </c>
      <c r="G450" s="22">
        <v>1380690</v>
      </c>
      <c r="H450" s="23" t="str" cm="1">
        <f t="array" ref="H450">IFERROR(INDEX(단어표[분류],MIN(IF(ISNUMBER(FIND(단어표[포함단어],표3[[#This Row],[내용]])),ROW(단어표[포함단어])-ROW(포함단어시작셀)+1,ROWS(단어표[포함단어])+1))),"")</f>
        <v>주식</v>
      </c>
      <c r="I450" s="23" t="str">
        <f>VLOOKUP(H450,분류표[],2,0)</f>
        <v>식비</v>
      </c>
      <c r="J450" s="24">
        <f t="shared" si="16"/>
        <v>44712</v>
      </c>
      <c r="K450" s="23">
        <f t="shared" si="17"/>
        <v>1</v>
      </c>
    </row>
    <row r="451" spans="1:11">
      <c r="A451" s="21">
        <v>44712</v>
      </c>
      <c r="B451" s="20" t="s">
        <v>10</v>
      </c>
      <c r="C451" s="20" t="s">
        <v>462</v>
      </c>
      <c r="D451" s="22">
        <v>14600</v>
      </c>
      <c r="E451" s="22"/>
      <c r="F451" s="20" t="s">
        <v>490</v>
      </c>
      <c r="G451" s="22">
        <v>1366090</v>
      </c>
      <c r="H451" s="23" t="str" cm="1">
        <f t="array" ref="H451">IFERROR(INDEX(단어표[분류],MIN(IF(ISNUMBER(FIND(단어표[포함단어],표3[[#This Row],[내용]])),ROW(단어표[포함단어])-ROW(포함단어시작셀)+1,ROWS(단어표[포함단어])+1))),"")</f>
        <v>건강보험</v>
      </c>
      <c r="I451" s="23" t="str">
        <f>VLOOKUP(H451,분류표[],2,0)</f>
        <v>보험비</v>
      </c>
      <c r="J451" s="24">
        <f t="shared" si="16"/>
        <v>44712</v>
      </c>
      <c r="K451" s="23">
        <f t="shared" si="17"/>
        <v>7</v>
      </c>
    </row>
    <row r="452" spans="1:11">
      <c r="A452" s="37">
        <v>44712</v>
      </c>
      <c r="B452" s="33" t="s">
        <v>9</v>
      </c>
      <c r="C452" s="33" t="s">
        <v>527</v>
      </c>
      <c r="D452" s="34">
        <v>4400</v>
      </c>
      <c r="E452" s="34"/>
      <c r="F452" s="33" t="s">
        <v>493</v>
      </c>
      <c r="G452" s="34">
        <v>1361690</v>
      </c>
      <c r="H452" s="35" t="str" cm="1">
        <f t="array" ref="H452">IFERROR(INDEX(단어표[분류],MIN(IF(ISNUMBER(FIND(단어표[포함단어],표3[[#This Row],[내용]])),ROW(단어표[포함단어])-ROW(포함단어시작셀)+1,ROWS(단어표[포함단어])+1))),"")</f>
        <v>커피</v>
      </c>
      <c r="I452" s="35" t="str">
        <f>VLOOKUP(H452,분류표[],2,0)</f>
        <v>식비</v>
      </c>
      <c r="J452" s="36">
        <f t="shared" si="16"/>
        <v>44712</v>
      </c>
      <c r="K452" s="35">
        <f t="shared" si="17"/>
        <v>14</v>
      </c>
    </row>
  </sheetData>
  <mergeCells count="1">
    <mergeCell ref="A1:K1"/>
  </mergeCells>
  <phoneticPr fontId="1" type="noConversion"/>
  <dataValidations count="1">
    <dataValidation type="list" allowBlank="1" showInputMessage="1" showErrorMessage="1" sqref="H2:H64927" xr:uid="{00000000-0002-0000-0100-000000000000}">
      <formula1>INDIRECT("분류표[분류]")</formula1>
    </dataValidation>
  </dataValidations>
  <pageMargins left="0.75" right="0.75" top="1" bottom="1" header="0.5" footer="0.5"/>
  <pageSetup orientation="portrait" horizontalDpi="300" verticalDpi="300" r:id="rId1"/>
  <headerFooter alignWithMargins="0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대시보드</vt:lpstr>
      <vt:lpstr>피벗</vt:lpstr>
      <vt:lpstr>거래내역</vt:lpstr>
      <vt:lpstr>포함단어시작셀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엑셀오빠두</dc:creator>
  <cp:lastModifiedBy>오빠두엑셀</cp:lastModifiedBy>
  <dcterms:created xsi:type="dcterms:W3CDTF">2022-06-03T06:53:56Z</dcterms:created>
  <dcterms:modified xsi:type="dcterms:W3CDTF">2022-09-15T16:29:44Z</dcterms:modified>
</cp:coreProperties>
</file>