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28" activeTab="4"/>
  </bookViews>
  <sheets>
    <sheet name="1. 요약" sheetId="1" r:id="rId1"/>
    <sheet name="2. 시장 구조" sheetId="2" r:id="rId2"/>
    <sheet name="3. 터블 실매출" sheetId="3" r:id="rId3"/>
    <sheet name="4. 경쟁 매트릭스" sheetId="5" r:id="rId4"/>
    <sheet name="5. Top5 경쟁사" sheetId="6" r:id="rId5"/>
    <sheet name="6. 터블 라인업 로드맵" sheetId="10" r:id="rId6"/>
    <sheet name="7. 참고 및 주석" sheetId="9" r:id="rId7"/>
  </sheets>
  <calcPr calcId="162913"/>
</workbook>
</file>

<file path=xl/calcChain.xml><?xml version="1.0" encoding="utf-8"?>
<calcChain xmlns="http://schemas.openxmlformats.org/spreadsheetml/2006/main">
  <c r="G33" i="6" l="1"/>
  <c r="G34" i="6"/>
  <c r="G35" i="6"/>
  <c r="G36" i="6"/>
  <c r="G32" i="6"/>
  <c r="G17" i="6"/>
  <c r="G18" i="6"/>
  <c r="G16" i="6"/>
  <c r="G15" i="6"/>
  <c r="G14" i="6"/>
  <c r="C16" i="5" l="1"/>
  <c r="C20" i="5" s="1"/>
</calcChain>
</file>

<file path=xl/sharedStrings.xml><?xml version="1.0" encoding="utf-8"?>
<sst xmlns="http://schemas.openxmlformats.org/spreadsheetml/2006/main" count="1219" uniqueCount="780">
  <si>
    <t>Executive Summary</t>
  </si>
  <si>
    <t>핵심 결론</t>
  </si>
  <si>
    <t>1</t>
  </si>
  <si>
    <t>2</t>
  </si>
  <si>
    <t>3</t>
  </si>
  <si>
    <t>전체 시장 점유율</t>
  </si>
  <si>
    <t>유일 선도 카테고리</t>
  </si>
  <si>
    <t>19.4억</t>
  </si>
  <si>
    <t>0.083%</t>
  </si>
  <si>
    <t>텀블러세정제 선도 ★</t>
  </si>
  <si>
    <t>시장 규모 산출 근거 · 추정 방법 · 신뢰도 체계</t>
  </si>
  <si>
    <t>카테고리별 전략 · GAP 분석 · 신상품 5종 · 2026-2028 로드맵 · 채널 전략</t>
  </si>
  <si>
    <t>국내 세제 시장 구조</t>
  </si>
  <si>
    <t>2025년 기준 국내 세제·주거용 청소 시장 규모 및 주요 기업·브랜드 현황</t>
  </si>
  <si>
    <t>1. 국내 세제 시장 규모</t>
  </si>
  <si>
    <t>전체 시장 규모</t>
  </si>
  <si>
    <t>추정 범위</t>
  </si>
  <si>
    <t>4대 대분류</t>
  </si>
  <si>
    <t>약 2.3조</t>
  </si>
  <si>
    <t>1.96조 ~ 2.71조</t>
  </si>
  <si>
    <t>23개 세부 카테고리 합산</t>
  </si>
  <si>
    <t>공식 출처 + 업계 추정</t>
  </si>
  <si>
    <t>기업</t>
  </si>
  <si>
    <t>LG생활건강</t>
  </si>
  <si>
    <t>라이온코리아</t>
  </si>
  <si>
    <t>-</t>
  </si>
  <si>
    <t>브랜드</t>
  </si>
  <si>
    <t>카테고리</t>
  </si>
  <si>
    <t>비트</t>
  </si>
  <si>
    <t>세탁세제</t>
  </si>
  <si>
    <t>참그린</t>
  </si>
  <si>
    <t>주방세제</t>
  </si>
  <si>
    <t>퍼실</t>
  </si>
  <si>
    <t>헨켈</t>
  </si>
  <si>
    <t>섬유유연제</t>
  </si>
  <si>
    <t>다우니</t>
  </si>
  <si>
    <t>P&amp;G</t>
  </si>
  <si>
    <t>자연퐁</t>
  </si>
  <si>
    <t>공간 탈취제</t>
  </si>
  <si>
    <t>페브리즈</t>
  </si>
  <si>
    <t>식기세척기세제</t>
  </si>
  <si>
    <t>다목적 세정제</t>
  </si>
  <si>
    <t>3M 스카치브라이트</t>
  </si>
  <si>
    <t>3M</t>
  </si>
  <si>
    <t>[주요 주석]</t>
  </si>
  <si>
    <t>※ 국내 세제·주거 청소 시장 약 2.3조 / 23개 세부 카테고리 합산 / 대분류별 집계</t>
  </si>
  <si>
    <t>대분류</t>
  </si>
  <si>
    <t>시장 규모(억)</t>
  </si>
  <si>
    <t>비중</t>
  </si>
  <si>
    <t>주요 대표 브랜드</t>
  </si>
  <si>
    <t>A. 세탁케어</t>
  </si>
  <si>
    <t>약 14,381</t>
  </si>
  <si>
    <t>61.7%</t>
  </si>
  <si>
    <t>퍼실 · 테크 · 비트 · 다우니 · 샤프란 · 아우라</t>
  </si>
  <si>
    <t>B. 키친케어</t>
  </si>
  <si>
    <t>약 4,175</t>
  </si>
  <si>
    <t>17.9%</t>
  </si>
  <si>
    <t>자연퐁 · 프릴 · 참그린 · 퐁퐁 · 피니쉬 · 넬리</t>
  </si>
  <si>
    <t>D. 홈케어</t>
  </si>
  <si>
    <t>약 3,905</t>
  </si>
  <si>
    <t>16.7%</t>
  </si>
  <si>
    <t>3M 스카치브라이트 · 페브리즈 · 홈스타 · 샤프란</t>
  </si>
  <si>
    <t>C. 배스룸케어</t>
  </si>
  <si>
    <t>약 865</t>
  </si>
  <si>
    <t>3.7%</t>
  </si>
  <si>
    <t>홈스타 · 브레프 · 유한락스 · 이지드롭</t>
  </si>
  <si>
    <t>약 23,326</t>
  </si>
  <si>
    <t>100.0%</t>
  </si>
  <si>
    <t>약 2.33조 / 범위 1.96조~2.71조 / 23개 세부 카테고리 중간값 합산</t>
  </si>
  <si>
    <t>※ 범위(min-max) 기준 / 신뢰도 A(공식 공시) · B(업계추산·신문) · C(공식집계부재) · D(근거약함) / TUBBLE 진입 현황은 시트 3 참고</t>
  </si>
  <si>
    <t>세부 카테고리</t>
  </si>
  <si>
    <t>규모 최소(억)</t>
  </si>
  <si>
    <t>규모 최대(억)</t>
  </si>
  <si>
    <t>중간값(억)</t>
  </si>
  <si>
    <t>전체 비중</t>
  </si>
  <si>
    <t>신뢰도</t>
  </si>
  <si>
    <t>대표 브랜드 · 출처</t>
  </si>
  <si>
    <t>A 세탁</t>
  </si>
  <si>
    <t>A</t>
  </si>
  <si>
    <t>퍼실·테크·비트 / NICE디엔비 2026E (유일 공식)</t>
  </si>
  <si>
    <t>B</t>
  </si>
  <si>
    <t>다우니 36% (유로모니터 2022) · 샤프란 30%대</t>
  </si>
  <si>
    <t>세탁조클리너</t>
  </si>
  <si>
    <t>C</t>
  </si>
  <si>
    <t>유한락스 · 홈스타 / 캡슐형 전환기</t>
  </si>
  <si>
    <t>드라이시트/건조기시트</t>
  </si>
  <si>
    <t>300</t>
  </si>
  <si>
    <t>르샤트라 · 피지 / 건조기 보급 동반</t>
  </si>
  <si>
    <t>표백제</t>
  </si>
  <si>
    <t>200</t>
  </si>
  <si>
    <t>유한락스 · 산소크린 / 과탄산소다 기반</t>
  </si>
  <si>
    <t>얼룩제거제</t>
  </si>
  <si>
    <t>D</t>
  </si>
  <si>
    <t>비트 · 마이비 / 신흥 카테고리</t>
  </si>
  <si>
    <t>이염방지시트</t>
  </si>
  <si>
    <t>스웰데이 · 탐사 / 소규모 NB 합산</t>
  </si>
  <si>
    <t>B 키친</t>
  </si>
  <si>
    <t>4,000</t>
  </si>
  <si>
    <t>자연퐁 42.7% (AC닐슨 2015) · 프릴 · 참그린</t>
  </si>
  <si>
    <t>피니쉬 · 넬리 · 자연퐁 / 식세기 보급 동반</t>
  </si>
  <si>
    <t>배수구 세정제</t>
  </si>
  <si>
    <t>유한 펑크린 중심</t>
  </si>
  <si>
    <t>점유율(%)</t>
  </si>
  <si>
    <t>기름때 제거제</t>
  </si>
  <si>
    <t>중소 NB 합산</t>
  </si>
  <si>
    <t>용기세척제 (텀블러)</t>
  </si>
  <si>
    <t>노블팜스 · 자연그램 / 신흥 카테고리</t>
  </si>
  <si>
    <t>C 배스룸</t>
  </si>
  <si>
    <t>욕실세정제 (일반)</t>
  </si>
  <si>
    <t>홈스타 · 유한락스</t>
  </si>
  <si>
    <t>변기세정제</t>
  </si>
  <si>
    <t>홈스타 · 브레프 / 발포형 성장 중</t>
  </si>
  <si>
    <t>곰팡이 제거제</t>
  </si>
  <si>
    <t>유한락스 중심</t>
  </si>
  <si>
    <t>배수구 클리너 (욕실)</t>
  </si>
  <si>
    <t>주방과 일부 중복</t>
  </si>
  <si>
    <t>물때 제거제</t>
  </si>
  <si>
    <t>니치 시장</t>
  </si>
  <si>
    <t>D 홈</t>
  </si>
  <si>
    <t>탈취제 (섬유·공간·겔)</t>
  </si>
  <si>
    <t>2,000</t>
  </si>
  <si>
    <t>페브리즈 40%+ (2023 추정) · 더티린넨</t>
  </si>
  <si>
    <t>1,000</t>
  </si>
  <si>
    <t>3M 스카치브라이트 60% (한경 2021)</t>
  </si>
  <si>
    <t>바닥세정제</t>
  </si>
  <si>
    <t>홈스타 주도</t>
  </si>
  <si>
    <t>유리세정제</t>
  </si>
  <si>
    <t>글라스X · 홈스타</t>
  </si>
  <si>
    <t>가전전용 클리너</t>
  </si>
  <si>
    <t>영역 분산</t>
  </si>
  <si>
    <t>주방후드/오븐</t>
  </si>
  <si>
    <t>합계 (23개)</t>
  </si>
  <si>
    <t>19,602</t>
  </si>
  <si>
    <t>27,050</t>
  </si>
  <si>
    <t>23,326</t>
  </si>
  <si>
    <t>100%</t>
  </si>
  <si>
    <t>약 2.3조 (1.96조 ~ 2.71조 범위)</t>
  </si>
  <si>
    <t>Top 3 카테고리</t>
  </si>
  <si>
    <t>세탁세제 8,500억 (36.5%) · 섬유유연제 4,921억 (21.1%) · 주방세제 3,250억 (13.9%) = 합산 71.5%</t>
  </si>
  <si>
    <t>중형 카테고리</t>
  </si>
  <si>
    <t>탈취제 2,000억 (8.6%) · 다목적세정제 1,250억 (5.4%) = 합산 14.0% / 3M·페브리즈 독점 영역</t>
  </si>
  <si>
    <t>신흥 카테고리</t>
  </si>
  <si>
    <t>※ 카테고리별 공식 점유율 × 카테고리 규모 산식 / 전체 세제 시장 2.33조 (23개 합산) 기준</t>
  </si>
  <si>
    <t>순위</t>
  </si>
  <si>
    <t>전체 시장 %</t>
  </si>
  <si>
    <t>추정 매출(억)</t>
  </si>
  <si>
    <t>근거 카테고리</t>
  </si>
  <si>
    <t>1위</t>
  </si>
  <si>
    <t>섬유유연제 36.1% × 4,921억 (유로모니터 2022)</t>
  </si>
  <si>
    <t>2위</t>
  </si>
  <si>
    <t>세탁세제 18.8% × 8,500억 (유로모니터 2019)</t>
  </si>
  <si>
    <t>3위</t>
  </si>
  <si>
    <t>샤프란</t>
  </si>
  <si>
    <t>섬유유연제 30% × 4,921억 (LG생활용품 부문 추정)</t>
  </si>
  <si>
    <t>4위</t>
  </si>
  <si>
    <t>주방세제 42.7% × 3,250억 (AC닐슨 2015)</t>
  </si>
  <si>
    <t>5위</t>
  </si>
  <si>
    <t>테크</t>
  </si>
  <si>
    <t>세탁세제 15% × 8,500억 (LG 자사 마케팅 자료)</t>
  </si>
  <si>
    <t>6위</t>
  </si>
  <si>
    <t>800</t>
  </si>
  <si>
    <t>탈취제 40% × 2,000억 (2023 업계 추정)</t>
  </si>
  <si>
    <t>7위</t>
  </si>
  <si>
    <t>다목적세정제 60% × 1,250억 (한경 2021)</t>
  </si>
  <si>
    <t>8위</t>
  </si>
  <si>
    <t>홈스타</t>
  </si>
  <si>
    <t>변기 30% + 욕실 25% 합산 (LG생활용품 부문 추정)</t>
  </si>
  <si>
    <t>Top 8 합계</t>
  </si>
  <si>
    <t>공식 점유율 + 추정 브랜드</t>
  </si>
  <si>
    <t>혼재</t>
  </si>
  <si>
    <t>※ 기업이 보유한 브랜드 추정 점유율 합산 / 시트 2 섹션 2 "LG생활용품 부문 38% (KIS)"는 세제 외 구강·헤어·바디 포함 부문 전체 기준</t>
  </si>
  <si>
    <t>보유 브랜드</t>
  </si>
  <si>
    <t>합산 점유율</t>
  </si>
  <si>
    <t>합산 매출(억)</t>
  </si>
  <si>
    <t>구성</t>
  </si>
  <si>
    <t>샤프란 + 자연퐁 + 테크 + 홈스타</t>
  </si>
  <si>
    <t>샤프란 6.33% + 자연퐁 5.95% + 테크 5.47% + 홈스타 0.65%</t>
  </si>
  <si>
    <t>혼재 (B·D)</t>
  </si>
  <si>
    <t>다우니 + 페브리즈</t>
  </si>
  <si>
    <t>다우니 7.62% + 페브리즈 3.43%</t>
  </si>
  <si>
    <t>혼재 (B·C)</t>
  </si>
  <si>
    <t>퍼실 6.85% (액체세제 12년 연속 1위 Kantar 기반)</t>
  </si>
  <si>
    <t>3M 60% × 다목적 1,250억 (한경 2021)</t>
  </si>
  <si>
    <t>합계</t>
  </si>
  <si>
    <t>Top 4 기업</t>
  </si>
  <si>
    <t>LG·P&amp;G·헨켈·3M 4개 기업이 시장의 약 39.5% 점유</t>
  </si>
  <si>
    <t>ERP 매출품목조회 기준 (2025.01.01 ~ 2025.12.31)</t>
  </si>
  <si>
    <t>총 매출</t>
  </si>
  <si>
    <t>Top 2 매출</t>
  </si>
  <si>
    <t>평균 매출</t>
  </si>
  <si>
    <t>17.23억</t>
  </si>
  <si>
    <t>1.21억/카테고리</t>
  </si>
  <si>
    <t>9개 카테고리 16 SKU</t>
  </si>
  <si>
    <t>세탁세제 캡슐 + 텀블러세정제 = 88.7%</t>
  </si>
  <si>
    <t>편차 매우 큼 (최대 10.16억)</t>
  </si>
  <si>
    <t>카테고리별 매출 구조</t>
  </si>
  <si>
    <t>매출(억)</t>
  </si>
  <si>
    <t>운영 상태</t>
  </si>
  <si>
    <t>비고</t>
  </si>
  <si>
    <t>세탁세제 (캡슐)</t>
  </si>
  <si>
    <t>텀블러세정제</t>
  </si>
  <si>
    <t>욕실세정제</t>
  </si>
  <si>
    <t>판매중</t>
  </si>
  <si>
    <t>판매중 (청소물티슈)</t>
  </si>
  <si>
    <t>9개 카테고리 / 16 SKU</t>
  </si>
  <si>
    <t>매출 구조 특징</t>
  </si>
  <si>
    <t>Top 2 집중도</t>
  </si>
  <si>
    <t>세탁세제 (캡슐)(52.4%) + 텀블러세정제(36.4%) = 88.7% / 2개 카테고리 의존도 높음</t>
  </si>
  <si>
    <t>대분류 쏠림</t>
  </si>
  <si>
    <t>A 세탁 58.3% + B 키친 39.8% = 98.1% / C·D 카테고리 매출 기여 미미</t>
  </si>
  <si>
    <t>0.74억</t>
  </si>
  <si>
    <t>0.87%</t>
  </si>
  <si>
    <t>0.24%</t>
  </si>
  <si>
    <t>0.16%</t>
  </si>
  <si>
    <t>경쟁력 단계 정의</t>
  </si>
  <si>
    <t>카테고리별 경쟁 매트릭스 (실측 월 판매량 × 12 × 판가 기준)</t>
  </si>
  <si>
    <t>경쟁력</t>
  </si>
  <si>
    <t>시장규모
(억)</t>
  </si>
  <si>
    <t>쿠팡 1위
(실측 월판매 기준)</t>
  </si>
  <si>
    <t>판가
(원)</t>
  </si>
  <si>
    <t>연 매출
(억)</t>
  </si>
  <si>
    <t>1위
점유율(%)</t>
  </si>
  <si>
    <t>대비
배수</t>
  </si>
  <si>
    <t>🟢 선도</t>
  </si>
  <si>
    <t>라이프홀릭</t>
  </si>
  <si>
    <t>3,000</t>
  </si>
  <si>
    <t>36,000</t>
  </si>
  <si>
    <t>7,900</t>
  </si>
  <si>
    <t>🟠 성장</t>
  </si>
  <si>
    <t>허글리</t>
  </si>
  <si>
    <t>30,000</t>
  </si>
  <si>
    <t>360,000</t>
  </si>
  <si>
    <t>14,800</t>
  </si>
  <si>
    <t>0.12%</t>
  </si>
  <si>
    <t>5.2배</t>
  </si>
  <si>
    <t>🟣 신규진입</t>
  </si>
  <si>
    <t>마이비</t>
  </si>
  <si>
    <t>10,000</t>
  </si>
  <si>
    <t>120,000</t>
  </si>
  <si>
    <t>🔴 약세</t>
  </si>
  <si>
    <t>코멧</t>
  </si>
  <si>
    <t>8,990</t>
  </si>
  <si>
    <t>14.6배</t>
  </si>
  <si>
    <t>코멧 10.79억 단독 / 탐사·닥터베크만 등 분산 / 네이버 스웰데이 별도</t>
  </si>
  <si>
    <t>드라이시트</t>
  </si>
  <si>
    <t>르샤트라</t>
  </si>
  <si>
    <t>20,000</t>
  </si>
  <si>
    <t>240,000</t>
  </si>
  <si>
    <t>10,520</t>
  </si>
  <si>
    <t>🟡 유지</t>
  </si>
  <si>
    <t>프릴</t>
  </si>
  <si>
    <t>40,000</t>
  </si>
  <si>
    <t>480,000</t>
  </si>
  <si>
    <t>8,480</t>
  </si>
  <si>
    <t>156.5배</t>
  </si>
  <si>
    <t>11,210</t>
  </si>
  <si>
    <t>32.9배</t>
  </si>
  <si>
    <t>21.2배</t>
  </si>
  <si>
    <t>홈스타 저가 대량 / 유한락스 3위 / 이브앤로엘 프리미엄 대비</t>
  </si>
  <si>
    <t>5,600</t>
  </si>
  <si>
    <t>부케가르니</t>
  </si>
  <si>
    <t>24,000</t>
  </si>
  <si>
    <t>5,900</t>
  </si>
  <si>
    <t>3M 스카치브라이트 오프라인 공식 60% / 쿠팡 부케가르니 1위 / 시장 분산</t>
  </si>
  <si>
    <t>더블유드레스룸</t>
  </si>
  <si>
    <t>12,250</t>
  </si>
  <si>
    <t>[데이터 출처 및 주석]</t>
  </si>
  <si>
    <t>① 실측 산식: 쿠팡 최근 1개월 판매수량 × 12개월 × 판가 = 연 매출 (신뢰도 B)</t>
  </si>
  <si>
    <t>⑧ 공식 점유율 병행 참고: 자연퐁 42.7%(주방) / 퍼실 24%(액체세제) / 다우니 36%(섬유유연제) / 3M 60%(다목적)</t>
  </si>
  <si>
    <t>⑨ 네이버 채널 실측 미포함 (수집 범위는 쿠팡 단일 채널) / 실제 브랜드 매출은 멀티채널 합산 시 더 클 수 있음</t>
  </si>
  <si>
    <t>10개 카테고리 × Top 5 / 쿠팡 월 판매수량 실측 기반 연 매출·점유율 산출</t>
  </si>
  <si>
    <t>[쿠팡 실측 Top 5] (월 판매수량 × 12 × 판가 = 연 매출)</t>
  </si>
  <si>
    <t>제품명</t>
  </si>
  <si>
    <t>월 판매</t>
  </si>
  <si>
    <t>연 판매</t>
  </si>
  <si>
    <t>판가(원)</t>
  </si>
  <si>
    <t>연 매출(억)</t>
  </si>
  <si>
    <t xml:space="preserve">허글리 8IN1 딥클린 초고농축 캡슐세탁세제 </t>
  </si>
  <si>
    <t>53.28억</t>
  </si>
  <si>
    <t>0.63%</t>
  </si>
  <si>
    <t>퍼실 뉴 디스크 프로 플러스 캡슐세제, 40개</t>
  </si>
  <si>
    <t>16,460</t>
  </si>
  <si>
    <t>39.5억</t>
  </si>
  <si>
    <t>0.46%</t>
  </si>
  <si>
    <t>맘스럽</t>
  </si>
  <si>
    <t>맘스럽 퍼펙트 캡슐세제 4챔버 파우치형 국산제</t>
  </si>
  <si>
    <t>8,720</t>
  </si>
  <si>
    <t>10.46억</t>
  </si>
  <si>
    <t>부케가르니 딥클린 초고농축 캡슐세제 100개입</t>
  </si>
  <si>
    <t>11,900</t>
  </si>
  <si>
    <t>14.28억</t>
  </si>
  <si>
    <t>0.17%</t>
  </si>
  <si>
    <t>스너글</t>
  </si>
  <si>
    <t>스너글 블루스파클 플러스 실내건조 캡슐세제 2</t>
  </si>
  <si>
    <t>7,000</t>
  </si>
  <si>
    <t>84,000</t>
  </si>
  <si>
    <t>13,000</t>
  </si>
  <si>
    <t>10.92억</t>
  </si>
  <si>
    <t>0.13%</t>
  </si>
  <si>
    <t>1위 허글리 월3만건 → 연53억 압도 / 퍼실·맘스럽·부케 등 경쟁 / Top5 합 약 128억 (시장 1.5%)</t>
  </si>
  <si>
    <t>마이비 얼룩제거제 330ml 1개</t>
  </si>
  <si>
    <t>9.48억</t>
  </si>
  <si>
    <t>9.48%</t>
  </si>
  <si>
    <t>테크 바르는 섬유 얼룩제거제 220ml</t>
  </si>
  <si>
    <t>8,000</t>
  </si>
  <si>
    <t>96,000</t>
  </si>
  <si>
    <t>3,480</t>
  </si>
  <si>
    <t>3.34억</t>
  </si>
  <si>
    <t>3.34%</t>
  </si>
  <si>
    <t>비트 바르는 얼룩제거제 220ml 2개</t>
  </si>
  <si>
    <t>5.66억</t>
  </si>
  <si>
    <t>5.66%</t>
  </si>
  <si>
    <t>라비킷</t>
  </si>
  <si>
    <t>라비킷 마이리무버 100 얼룩제거제 300ml</t>
  </si>
  <si>
    <t>48,000</t>
  </si>
  <si>
    <t>14,900</t>
  </si>
  <si>
    <t>7.15억</t>
  </si>
  <si>
    <t>7.15%</t>
  </si>
  <si>
    <t>비트 O2 얼룩제거제 500ml 2개</t>
  </si>
  <si>
    <t>8,390</t>
  </si>
  <si>
    <t>4.03억</t>
  </si>
  <si>
    <t>4.03%</t>
  </si>
  <si>
    <t>1위 마이비 9.5억 / 비트 분산(Top5에 2개) / 테크 가성비 / 시장 100억 집중 구조 부재</t>
  </si>
  <si>
    <t>홈스타 퍼펙트 세탁조 클리너 450ml</t>
  </si>
  <si>
    <t>8.66억</t>
  </si>
  <si>
    <t>3.46%</t>
  </si>
  <si>
    <t>홈스타 세탁조 클리너 버블워시 200g 2개</t>
  </si>
  <si>
    <t>6.13억</t>
  </si>
  <si>
    <t>2.45%</t>
  </si>
  <si>
    <t>유한락스</t>
  </si>
  <si>
    <t>유한락스 세탁조 세정제 500ml</t>
  </si>
  <si>
    <t>5,000</t>
  </si>
  <si>
    <t>60,000</t>
  </si>
  <si>
    <t>2.04억</t>
  </si>
  <si>
    <t>0.82%</t>
  </si>
  <si>
    <t>이브앤로엘</t>
  </si>
  <si>
    <t xml:space="preserve">이브앤로엘 1+1 초강력 세탁조 클리너 </t>
  </si>
  <si>
    <t>16.15억</t>
  </si>
  <si>
    <t>6.46%</t>
  </si>
  <si>
    <t>생활공작소</t>
  </si>
  <si>
    <t>생활공작소 세탁조 크리너 450g 5개</t>
  </si>
  <si>
    <t>3.84억</t>
  </si>
  <si>
    <t>1.54%</t>
  </si>
  <si>
    <t>1위 홈스타 저가 대량 / 이브앤로엘 고가 프리미엄 16억 / 가격대별 분산 경쟁</t>
  </si>
  <si>
    <t xml:space="preserve">코멧 홈 이염방지 세탁시트 200매 </t>
  </si>
  <si>
    <t>10.79억</t>
  </si>
  <si>
    <t>12.69%</t>
  </si>
  <si>
    <t>엔더</t>
  </si>
  <si>
    <t>엔더 오래쓰는 이염방지 세탁시트 220개입</t>
  </si>
  <si>
    <t>6,900</t>
  </si>
  <si>
    <t>2.48억</t>
  </si>
  <si>
    <t>2.92%</t>
  </si>
  <si>
    <t>탐사</t>
  </si>
  <si>
    <t>탐사 이염방지 세탁티슈 100개입 1개</t>
  </si>
  <si>
    <t>3.24억</t>
  </si>
  <si>
    <t>3.81%</t>
  </si>
  <si>
    <t>닥터베크만</t>
  </si>
  <si>
    <t>닥터베크만 컬러 앤 더트 컬렉터 이염방지 세탁</t>
  </si>
  <si>
    <t>3.58억</t>
  </si>
  <si>
    <t>4.21%</t>
  </si>
  <si>
    <t>고릴라랩</t>
  </si>
  <si>
    <t>고릴라랩 2배더 빵빵해진 이염방지뚱시트 100</t>
  </si>
  <si>
    <t>10,800</t>
  </si>
  <si>
    <t>2.59억</t>
  </si>
  <si>
    <t>3.05%</t>
  </si>
  <si>
    <t>1위 코멧 10.79억 (점유 12.7%) / 탐사·닥터베크만 등 분산 / TUBBLE 0.87% 확대 여지</t>
  </si>
  <si>
    <t>르샤트라1802 드라이 시트 섬유유연제 피오니</t>
  </si>
  <si>
    <t>25.25억</t>
  </si>
  <si>
    <t>11.22%</t>
  </si>
  <si>
    <t>스너글 건조기용 드라이시트 허거블코튼 본품 1</t>
  </si>
  <si>
    <t>18,330</t>
  </si>
  <si>
    <t>22.0억</t>
  </si>
  <si>
    <t>9.78%</t>
  </si>
  <si>
    <t>피죤</t>
  </si>
  <si>
    <t>피죤 건조기용 시그니처 시트 섬유유연제 미스틱</t>
  </si>
  <si>
    <t>10,860</t>
  </si>
  <si>
    <t>13.03억</t>
  </si>
  <si>
    <t>5.79%</t>
  </si>
  <si>
    <t>아우라</t>
  </si>
  <si>
    <t>아우라 드라이 섬유유연시트 스윗만다린 앤 피로</t>
  </si>
  <si>
    <t>12,160</t>
  </si>
  <si>
    <t>11.67억</t>
  </si>
  <si>
    <t>5.19%</t>
  </si>
  <si>
    <t xml:space="preserve">라비킷 코트너 건조기 시트 섬유유연제 비누향 </t>
  </si>
  <si>
    <t>18,500</t>
  </si>
  <si>
    <t>15.54억</t>
  </si>
  <si>
    <t>6.91%</t>
  </si>
  <si>
    <t xml:space="preserve">프릴 </t>
  </si>
  <si>
    <t>프릴 시크릿오브 베이킹소다 퓨어레몬향 리필 1</t>
  </si>
  <si>
    <t>40.7억</t>
  </si>
  <si>
    <t>1.25%</t>
  </si>
  <si>
    <t>퐁퐁</t>
  </si>
  <si>
    <t xml:space="preserve">퐁퐁 오렌지 오일 담은 친환경 주방세제 기분 </t>
  </si>
  <si>
    <t>4,700</t>
  </si>
  <si>
    <t>16.92억</t>
  </si>
  <si>
    <t>0.52%</t>
  </si>
  <si>
    <t>탐사 베이킹소다 주방세제 레몬향 780ml 2</t>
  </si>
  <si>
    <t>18.0억</t>
  </si>
  <si>
    <t>0.55%</t>
  </si>
  <si>
    <t>참그린 레몬 녹차 뽀드득 어드밴스 주방세제 리</t>
  </si>
  <si>
    <t>8,400</t>
  </si>
  <si>
    <t>10.08억</t>
  </si>
  <si>
    <t>0.31%</t>
  </si>
  <si>
    <t>순샘</t>
  </si>
  <si>
    <t>순샘 구연산 자몽향 주방세제 리필 1.6L 2</t>
  </si>
  <si>
    <t>9,000</t>
  </si>
  <si>
    <t>108,000</t>
  </si>
  <si>
    <t>7,320</t>
  </si>
  <si>
    <t>7.91억</t>
  </si>
  <si>
    <t>1위 프릴 40.7억 / Top5 합 약 93억 (시장 2.9%) / AC닐슨 공식 자연퐁 42.7% 별도 오프라인 강세</t>
  </si>
  <si>
    <t xml:space="preserve">자연퐁 스팀워시 식기세척기용 세제 베이킹소다 </t>
  </si>
  <si>
    <t>13.45억</t>
  </si>
  <si>
    <t>3.36%</t>
  </si>
  <si>
    <t>프로쉬</t>
  </si>
  <si>
    <t>프로쉬 올인원 베이킹소다 식기세척기 세제 30</t>
  </si>
  <si>
    <t>9,800</t>
  </si>
  <si>
    <t>9.41억</t>
  </si>
  <si>
    <t>2.35%</t>
  </si>
  <si>
    <t>아이앤어스</t>
  </si>
  <si>
    <t>아이앤어스 3스텝 캡슐 식기세척기 타블렛 세제</t>
  </si>
  <si>
    <t>8,140</t>
  </si>
  <si>
    <t>3.91억</t>
  </si>
  <si>
    <t>0.98%</t>
  </si>
  <si>
    <t>에코버</t>
  </si>
  <si>
    <t>에코버 올인원 식기세척기세제 440g</t>
  </si>
  <si>
    <t>2.86억</t>
  </si>
  <si>
    <t>0.71%</t>
  </si>
  <si>
    <t>탐사 베이킹소다 미니 식기세척기 세제 120개</t>
  </si>
  <si>
    <t>8,540</t>
  </si>
  <si>
    <t>2.05억</t>
  </si>
  <si>
    <t>0.51%</t>
  </si>
  <si>
    <t>라이프홀릭 텀블러 발포 세정제 150g</t>
  </si>
  <si>
    <t>2.84억</t>
  </si>
  <si>
    <t>1.89%</t>
  </si>
  <si>
    <t xml:space="preserve">아이앤어스 1종 발포세정제 30p 120g </t>
  </si>
  <si>
    <t>5,400</t>
  </si>
  <si>
    <t>1.3억</t>
  </si>
  <si>
    <t>노블팜스</t>
  </si>
  <si>
    <t>노블팜스 텀블러 발포 세척제 한알에 5그램 2</t>
  </si>
  <si>
    <t>12,000</t>
  </si>
  <si>
    <t>15,960</t>
  </si>
  <si>
    <t>1.92억</t>
  </si>
  <si>
    <t>1.28%</t>
  </si>
  <si>
    <t>블루워시</t>
  </si>
  <si>
    <t>블루워시 비건 고체형 텀블러 세정제 200g</t>
  </si>
  <si>
    <t>3,600</t>
  </si>
  <si>
    <t>10,400</t>
  </si>
  <si>
    <t>0.37억</t>
  </si>
  <si>
    <t>0.25%</t>
  </si>
  <si>
    <t>위코워크</t>
  </si>
  <si>
    <t>위코워크 비건 타블렛 텀블러 발포 주방식기 세</t>
  </si>
  <si>
    <t>2,400</t>
  </si>
  <si>
    <t>0.19억</t>
  </si>
  <si>
    <t>홈스타 락스와 세제 스프레이 후로랄 750ml</t>
  </si>
  <si>
    <t>6.72억</t>
  </si>
  <si>
    <t>3.84%</t>
  </si>
  <si>
    <t>이지드롭</t>
  </si>
  <si>
    <t>이지드롭 일회용 변기크리너 뉴 레몬향 2개</t>
  </si>
  <si>
    <t>8,900</t>
  </si>
  <si>
    <t>9.61억</t>
  </si>
  <si>
    <t>5.49%</t>
  </si>
  <si>
    <t>브레프</t>
  </si>
  <si>
    <t xml:space="preserve">브레프 파워액티브 변기세정제 라벤더향 50g </t>
  </si>
  <si>
    <t>14,820</t>
  </si>
  <si>
    <t>5.34억</t>
  </si>
  <si>
    <t>프로쉬 변기클리너 라벤더 750ml</t>
  </si>
  <si>
    <t>8,200</t>
  </si>
  <si>
    <t>1.97억</t>
  </si>
  <si>
    <t>1.13%</t>
  </si>
  <si>
    <t>탐사 욕실청소용 락스세제 750ml 4개</t>
  </si>
  <si>
    <t>900</t>
  </si>
  <si>
    <t>8,430</t>
  </si>
  <si>
    <t>0.91억</t>
  </si>
  <si>
    <t>실측 1위 이지드롭 9.6억 / 홈스타 6.7억 / 브레프 5.3억 / 프리미엄 이지드롭 주목</t>
  </si>
  <si>
    <t>부케가르니 퍼펙트 클리어 다목적 세정제 750</t>
  </si>
  <si>
    <t>1.42억</t>
  </si>
  <si>
    <t>0.11%</t>
  </si>
  <si>
    <t xml:space="preserve">브리오신 </t>
  </si>
  <si>
    <t>브리오신 사봉 느와르 다목적 세정제 750ml</t>
  </si>
  <si>
    <t>17,050</t>
  </si>
  <si>
    <t xml:space="preserve">생활공식 </t>
  </si>
  <si>
    <t>생활공식 초강력 다목적 클리너 500ml 2개</t>
  </si>
  <si>
    <t>19,800</t>
  </si>
  <si>
    <t>2.38억</t>
  </si>
  <si>
    <t>0.19%</t>
  </si>
  <si>
    <t>청소해결사</t>
  </si>
  <si>
    <t>청소해결사 크린피비 찌든때 기름때 제거 650</t>
  </si>
  <si>
    <t>6,130</t>
  </si>
  <si>
    <t>0.06%</t>
  </si>
  <si>
    <t xml:space="preserve">프로쉬 </t>
  </si>
  <si>
    <t xml:space="preserve">프로쉬 오렌지 멀티 클리너 500ml </t>
  </si>
  <si>
    <t>9,600</t>
  </si>
  <si>
    <t>0.77억</t>
  </si>
  <si>
    <t>1위 부케가르니 1.4억 쿠팡 기준 / 시장 1,250억 대비 극소 / 3M 오프라인 공식 60% 별개</t>
  </si>
  <si>
    <t xml:space="preserve">더블유드레스룸 퍼퓸 탈취제 97 에이프릴코튼 </t>
  </si>
  <si>
    <t>14.7억</t>
  </si>
  <si>
    <t>0.73%</t>
  </si>
  <si>
    <t>피에브</t>
  </si>
  <si>
    <t>피에브 에어워셔 고체 탈취제 냄새제거 피톤치드</t>
  </si>
  <si>
    <t>19.01억</t>
  </si>
  <si>
    <t>0.95%</t>
  </si>
  <si>
    <t>네이처스에어스펀지</t>
  </si>
  <si>
    <t xml:space="preserve">네이처스에어스펀지 오리지널 대형 실내 탈취제 </t>
  </si>
  <si>
    <t>15,890</t>
  </si>
  <si>
    <t>9.53억</t>
  </si>
  <si>
    <t>0.48%</t>
  </si>
  <si>
    <t xml:space="preserve">더티린넨 </t>
  </si>
  <si>
    <t>더티린넨 탈취제 300g</t>
  </si>
  <si>
    <t>23,400</t>
  </si>
  <si>
    <t>8.42억</t>
  </si>
  <si>
    <t>0.42%</t>
  </si>
  <si>
    <t>바스</t>
  </si>
  <si>
    <t>바스 블루 탈취제 본품 397g</t>
  </si>
  <si>
    <t>4.75억</t>
  </si>
  <si>
    <t>실측 1위 더블유드레스룸 14.7억 / 피에브 19억 / 네이버 더티린넨 별도 강세 / 페브리즈 공식 40%+</t>
  </si>
  <si>
    <t>공간탈취제</t>
  </si>
  <si>
    <t>참고 및 주석</t>
  </si>
  <si>
    <t>1. 시장 규모 산출 근거</t>
  </si>
  <si>
    <t>전체 규모</t>
  </si>
  <si>
    <t>약 2.3조 (1.96조~2.71조 범위)</t>
  </si>
  <si>
    <t>23개 세부 카테고리 합산 중간값</t>
  </si>
  <si>
    <t>세탁세제 공식</t>
  </si>
  <si>
    <t>8,500억 (NICE디엔비 2026E)</t>
  </si>
  <si>
    <t>통계청 광업·제조업 통계 기반</t>
  </si>
  <si>
    <t>LG생활건강 생활용품 부문</t>
  </si>
  <si>
    <t>2조 1,370억 (2024 공시) / 생활용품 38.0%</t>
  </si>
  <si>
    <t>한국신용평가(KIS) 2025.12.08</t>
  </si>
  <si>
    <t>애경산업 생활용품</t>
  </si>
  <si>
    <t>4,176억 (2024 공시) / 세탁 776억 + 주방 491억</t>
  </si>
  <si>
    <t>애경 연결 공시 + 2023 기사</t>
  </si>
  <si>
    <t>2,063억 (2024)</t>
  </si>
  <si>
    <t>NICE평가정보 공시 (세제·치약·의약품 혼재)</t>
  </si>
  <si>
    <t>카테고리별 1위</t>
  </si>
  <si>
    <t>퍼실·자연퐁·페브리즈·3M·피니쉬 등</t>
  </si>
  <si>
    <t>유로모니터·AC닐슨·Kantar·한경</t>
  </si>
  <si>
    <t>신뢰도 등급</t>
  </si>
  <si>
    <t>A 공식 공시 / B 공식 조사기관 / C 업계 추정 / D 단일 채널 추정</t>
  </si>
  <si>
    <t>각 카테고리별 표기</t>
  </si>
  <si>
    <t>🟢 확장·방어   |   🟠 성장 투자   |   🔵 유지   |   🟡 재검토   |   🔴 축소   |   🟣 신규 진입</t>
  </si>
  <si>
    <t>현재 상태</t>
  </si>
  <si>
    <t>전략 방향</t>
  </si>
  <si>
    <t>조사 결과 근거</t>
  </si>
  <si>
    <t>2026 액션 계획</t>
  </si>
  <si>
    <t>선도 (ERP 7.07억, 점유율 4.71%)</t>
  </si>
  <si>
    <t>🟢 확장·방어</t>
  </si>
  <si>
    <t>성장 (ERP 10.16억, 점유율 0.12%)</t>
  </si>
  <si>
    <t>🟠 성장 투자</t>
  </si>
  <si>
    <t>유지 (ERP 0.41억, 점유율 0.16%)</t>
  </si>
  <si>
    <t>🔵 유지</t>
  </si>
  <si>
    <t>유한락스 저가 독점 / 시장 250억 중형 / 경쟁 고착 구조</t>
  </si>
  <si>
    <t>현 SKU 유지 / 신규 투자 지양 / 정기 구매 고객 방어</t>
  </si>
  <si>
    <t>약세 (ERP 0.74억, 점유율 0.87%)</t>
  </si>
  <si>
    <t>약세 (ERP 0.26억, 점유율 0.01%)</t>
  </si>
  <si>
    <t>약세 (ERP 0.41억, 점유율 0.10%)</t>
  </si>
  <si>
    <t>약세 (ERP 0.27억, 점유율 0.02%)</t>
  </si>
  <si>
    <t>3M 공식 60% / 네이버 KLEAN-19 강세 / 쿠팡 생활공식 1위 / 진입 장벽 높음</t>
  </si>
  <si>
    <t>얼룩제거제 (신규)</t>
  </si>
  <si>
    <t>🟣 신규 진입</t>
  </si>
  <si>
    <t>비트 주도 31억 / 얼룩 5종 세트 차별화 컨셉 / 시장 100억 진입 가능</t>
  </si>
  <si>
    <t>드라이시트 (신규)</t>
  </si>
  <si>
    <t>쿠팡 르샤트라 86K 지배 / 네이버 피지 7K / 대형 NB 시장 후발 / 60매 패키지 차별화</t>
  </si>
  <si>
    <t>변기세정제 (신규)</t>
  </si>
  <si>
    <t>LG홈스타 + 헨켈 브레프 2강 / 발포탭 신흥 컨셉 / 시장 175억 진입 가능</t>
  </si>
  <si>
    <t>시장 규모</t>
  </si>
  <si>
    <t>경쟁사 평균 SKU</t>
  </si>
  <si>
    <t>갭</t>
  </si>
  <si>
    <t>시사점</t>
  </si>
  <si>
    <t>약 1.5조</t>
  </si>
  <si>
    <t>7 SKU</t>
  </si>
  <si>
    <t>6.5개</t>
  </si>
  <si>
    <t>적정</t>
  </si>
  <si>
    <t>약 5,000억</t>
  </si>
  <si>
    <t>3 SKU</t>
  </si>
  <si>
    <t>2.4개</t>
  </si>
  <si>
    <t>약 800억</t>
  </si>
  <si>
    <t>1.2개</t>
  </si>
  <si>
    <t>확장 여지</t>
  </si>
  <si>
    <t>2 SKU</t>
  </si>
  <si>
    <t>4.6개</t>
  </si>
  <si>
    <t>🔴 큰 갭</t>
  </si>
  <si>
    <t>탈취·향</t>
  </si>
  <si>
    <t>약 2,000억</t>
  </si>
  <si>
    <t>1.5개</t>
  </si>
  <si>
    <t>2026 H1</t>
  </si>
  <si>
    <t>기존 강화 + 리뉴얼</t>
  </si>
  <si>
    <t>2026 H2</t>
  </si>
  <si>
    <t>신규 진입 4종</t>
  </si>
  <si>
    <t>2027 H1</t>
  </si>
  <si>
    <t>약세 카테고리 재편</t>
  </si>
  <si>
    <t>2027 H2</t>
  </si>
  <si>
    <t>시장규모 · 경쟁사 추정매출 · 터블 점유율</t>
    <phoneticPr fontId="18" type="noConversion"/>
  </si>
  <si>
    <t>쿠팡 Top5  경쟁사 분석</t>
    <phoneticPr fontId="18" type="noConversion"/>
  </si>
  <si>
    <t>3. 터블 2025 실매출 현황</t>
    <phoneticPr fontId="18" type="noConversion"/>
  </si>
  <si>
    <t xml:space="preserve">[현주소] 국내 세제 시장 약 2.33조 / 터블 2025 매출 19.4억 / 점유율 약 0.083% </t>
    <phoneticPr fontId="18" type="noConversion"/>
  </si>
  <si>
    <t xml:space="preserve">[시장 구조] 4대 대분류 = 세탁 62% · 키친 18% · 홈 17% · 배스룸 4% 
                 기업 1위 LG생활건강 세제 합산 약 18.4% (샤프란·자연퐁·테크·홈스타) </t>
    <phoneticPr fontId="18" type="noConversion"/>
  </si>
  <si>
    <t>[나아갈 방향] 대형 브랜드 독점 영역 회피 + 카테고리 공백·신흥 카테고리 공략</t>
    <phoneticPr fontId="18" type="noConversion"/>
  </si>
  <si>
    <t>터블 2025 매출</t>
    <phoneticPr fontId="18" type="noConversion"/>
  </si>
  <si>
    <t>ERP 집계 기준</t>
    <phoneticPr fontId="18" type="noConversion"/>
  </si>
  <si>
    <t xml:space="preserve">시장 2.33조 기준 </t>
    <phoneticPr fontId="18" type="noConversion"/>
  </si>
  <si>
    <t>1위 대비 2.5배 큼 (쿠팡 실측 대비)</t>
    <phoneticPr fontId="18" type="noConversion"/>
  </si>
  <si>
    <t>시트별 구성</t>
    <phoneticPr fontId="18" type="noConversion"/>
  </si>
  <si>
    <t>세탁,키친,홈,욕실</t>
    <phoneticPr fontId="18" type="noConversion"/>
  </si>
  <si>
    <t>세탁 62% · 키친 18% · 홈 17% · 욕실 4%</t>
    <phoneticPr fontId="18" type="noConversion"/>
  </si>
  <si>
    <t>2. 4대 대분류 시장 비중</t>
    <phoneticPr fontId="18" type="noConversion"/>
  </si>
  <si>
    <t xml:space="preserve">합계 </t>
    <phoneticPr fontId="18" type="noConversion"/>
  </si>
  <si>
    <t>3. 23개 세부 카테고리별 시장 규모</t>
    <phoneticPr fontId="18" type="noConversion"/>
  </si>
  <si>
    <t>4. 시장 구조 핵심 인사이트</t>
    <phoneticPr fontId="18" type="noConversion"/>
  </si>
  <si>
    <t>텀블러 150억 / 얼룩제거 100억 / 이염방지 85억 / 변기 175억 = 공식 집계 부재 / 신규 브랜드 진입 기회</t>
    <phoneticPr fontId="18" type="noConversion"/>
  </si>
  <si>
    <t>5. 브랜드별 시장 점유율 추정</t>
    <phoneticPr fontId="18" type="noConversion"/>
  </si>
  <si>
    <t>전체 시장 23,326억 중 Top 8 브랜드가 39.52% 커버 
/ 나머지 60.48%는 기타 브랜드 분산</t>
    <phoneticPr fontId="18" type="noConversion"/>
  </si>
  <si>
    <t>6. 기업 단위 합산 추정 (브랜드 포트폴리오 기준)</t>
    <phoneticPr fontId="18" type="noConversion"/>
  </si>
  <si>
    <r>
      <rPr>
        <b/>
        <sz val="22"/>
        <color rgb="FF1E2761"/>
        <rFont val="돋움"/>
        <family val="3"/>
        <charset val="129"/>
      </rPr>
      <t>터블</t>
    </r>
    <r>
      <rPr>
        <b/>
        <sz val="22"/>
        <color rgb="FF1E2761"/>
        <rFont val="Arial Black"/>
        <family val="2"/>
      </rPr>
      <t xml:space="preserve"> 2025 </t>
    </r>
    <r>
      <rPr>
        <b/>
        <sz val="22"/>
        <color rgb="FF1E2761"/>
        <rFont val="돋움"/>
        <family val="3"/>
        <charset val="129"/>
      </rPr>
      <t>실매출</t>
    </r>
    <r>
      <rPr>
        <b/>
        <sz val="22"/>
        <color rgb="FF1E2761"/>
        <rFont val="Arial Black"/>
        <family val="2"/>
      </rPr>
      <t xml:space="preserve"> </t>
    </r>
    <r>
      <rPr>
        <b/>
        <sz val="22"/>
        <color rgb="FF1E2761"/>
        <rFont val="돋움"/>
        <family val="3"/>
        <charset val="129"/>
      </rPr>
      <t>현황</t>
    </r>
    <phoneticPr fontId="18" type="noConversion"/>
  </si>
  <si>
    <r>
      <rPr>
        <sz val="10"/>
        <color rgb="FF212121"/>
        <rFont val="돋움"/>
        <family val="3"/>
        <charset val="129"/>
      </rPr>
      <t>판매중</t>
    </r>
    <r>
      <rPr>
        <sz val="10"/>
        <color rgb="FF212121"/>
        <rFont val="Arial"/>
        <family val="2"/>
      </rPr>
      <t xml:space="preserve"> </t>
    </r>
    <phoneticPr fontId="18" type="noConversion"/>
  </si>
  <si>
    <r>
      <t>6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리뉴얼</t>
    </r>
    <phoneticPr fontId="18" type="noConversion"/>
  </si>
  <si>
    <t>세정티슈</t>
    <phoneticPr fontId="18" type="noConversion"/>
  </si>
  <si>
    <r>
      <rPr>
        <sz val="10"/>
        <color rgb="FF212121"/>
        <rFont val="돋움"/>
        <family val="3"/>
        <charset val="129"/>
      </rPr>
      <t>탈취제</t>
    </r>
    <r>
      <rPr>
        <sz val="10"/>
        <color rgb="FF212121"/>
        <rFont val="Arial"/>
        <family val="2"/>
      </rPr>
      <t>(</t>
    </r>
    <r>
      <rPr>
        <sz val="10"/>
        <color rgb="FF212121"/>
        <rFont val="돋움"/>
        <family val="3"/>
        <charset val="129"/>
      </rPr>
      <t>겔</t>
    </r>
    <r>
      <rPr>
        <sz val="10"/>
        <color rgb="FF212121"/>
        <rFont val="Arial"/>
        <family val="2"/>
      </rPr>
      <t>)</t>
    </r>
    <phoneticPr fontId="18" type="noConversion"/>
  </si>
  <si>
    <r>
      <t xml:space="preserve">26 2H </t>
    </r>
    <r>
      <rPr>
        <b/>
        <sz val="11"/>
        <color rgb="FF212121"/>
        <rFont val="돋움"/>
        <family val="3"/>
        <charset val="129"/>
      </rPr>
      <t>확장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검토</t>
    </r>
    <phoneticPr fontId="18" type="noConversion"/>
  </si>
  <si>
    <r>
      <rPr>
        <sz val="10"/>
        <color rgb="FF212121"/>
        <rFont val="돋움"/>
        <family val="3"/>
        <charset val="129"/>
      </rPr>
      <t>신규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품목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확장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런칭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검토</t>
    </r>
    <r>
      <rPr>
        <sz val="10"/>
        <color rgb="FF212121"/>
        <rFont val="Arial"/>
        <family val="2"/>
      </rPr>
      <t xml:space="preserve"> (</t>
    </r>
    <r>
      <rPr>
        <sz val="10"/>
        <color rgb="FF212121"/>
        <rFont val="돋움"/>
        <family val="3"/>
        <charset val="129"/>
      </rPr>
      <t>얼룩제거제</t>
    </r>
    <r>
      <rPr>
        <sz val="10"/>
        <color rgb="FF212121"/>
        <rFont val="Arial"/>
        <family val="2"/>
      </rPr>
      <t xml:space="preserve"> 9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 · </t>
    </r>
    <r>
      <rPr>
        <sz val="10"/>
        <color rgb="FF212121"/>
        <rFont val="돋움"/>
        <family val="3"/>
        <charset val="129"/>
      </rPr>
      <t>드라이시트</t>
    </r>
    <r>
      <rPr>
        <sz val="10"/>
        <color rgb="FF212121"/>
        <rFont val="Arial"/>
        <family val="2"/>
      </rPr>
      <t xml:space="preserve"> 10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 · </t>
    </r>
    <r>
      <rPr>
        <sz val="10"/>
        <color rgb="FF212121"/>
        <rFont val="돋움"/>
        <family val="3"/>
        <charset val="129"/>
      </rPr>
      <t>변기세정제</t>
    </r>
    <r>
      <rPr>
        <sz val="10"/>
        <color rgb="FF212121"/>
        <rFont val="Arial"/>
        <family val="2"/>
      </rPr>
      <t xml:space="preserve"> 8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>)</t>
    </r>
    <phoneticPr fontId="18" type="noConversion"/>
  </si>
  <si>
    <t xml:space="preserve">시장 규모 · 기업별 공시/점유율 </t>
    <phoneticPr fontId="18" type="noConversion"/>
  </si>
  <si>
    <t xml:space="preserve">카테고리별 매출 현황 </t>
    <phoneticPr fontId="18" type="noConversion"/>
  </si>
  <si>
    <r>
      <rPr>
        <b/>
        <sz val="22"/>
        <color rgb="FF1E2761"/>
        <rFont val="돋움"/>
        <family val="3"/>
        <charset val="129"/>
      </rPr>
      <t>카테고리별</t>
    </r>
    <r>
      <rPr>
        <b/>
        <sz val="22"/>
        <color rgb="FF1E2761"/>
        <rFont val="Arial Black"/>
        <family val="2"/>
      </rPr>
      <t xml:space="preserve"> </t>
    </r>
    <r>
      <rPr>
        <b/>
        <sz val="22"/>
        <color rgb="FF1E2761"/>
        <rFont val="돋움"/>
        <family val="3"/>
        <charset val="129"/>
      </rPr>
      <t>경쟁</t>
    </r>
    <r>
      <rPr>
        <b/>
        <sz val="22"/>
        <color rgb="FF1E2761"/>
        <rFont val="Arial Black"/>
        <family val="2"/>
      </rPr>
      <t xml:space="preserve"> </t>
    </r>
    <r>
      <rPr>
        <b/>
        <sz val="22"/>
        <color rgb="FF1E2761"/>
        <rFont val="돋움"/>
        <family val="3"/>
        <charset val="129"/>
      </rPr>
      <t>매트릭스</t>
    </r>
    <phoneticPr fontId="18" type="noConversion"/>
  </si>
  <si>
    <r>
      <rPr>
        <sz val="11"/>
        <color rgb="FF555555"/>
        <rFont val="돋움"/>
        <family val="3"/>
        <charset val="129"/>
      </rPr>
      <t>쿠팡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실측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월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판매수량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기반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연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매출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산출</t>
    </r>
    <r>
      <rPr>
        <sz val="11"/>
        <color rgb="FF555555"/>
        <rFont val="Arial"/>
        <family val="2"/>
      </rPr>
      <t xml:space="preserve"> / </t>
    </r>
    <r>
      <rPr>
        <sz val="11"/>
        <color rgb="FF555555"/>
        <rFont val="돋움"/>
        <family val="3"/>
        <charset val="129"/>
      </rPr>
      <t>시장규모</t>
    </r>
    <r>
      <rPr>
        <sz val="11"/>
        <color rgb="FF555555"/>
        <rFont val="Arial"/>
        <family val="2"/>
      </rPr>
      <t xml:space="preserve"> + </t>
    </r>
    <r>
      <rPr>
        <sz val="11"/>
        <color rgb="FF555555"/>
        <rFont val="돋움"/>
        <family val="3"/>
        <charset val="129"/>
      </rPr>
      <t>쿠팡</t>
    </r>
    <r>
      <rPr>
        <sz val="11"/>
        <color rgb="FF555555"/>
        <rFont val="Arial"/>
        <family val="2"/>
      </rPr>
      <t xml:space="preserve"> 1</t>
    </r>
    <r>
      <rPr>
        <sz val="11"/>
        <color rgb="FF555555"/>
        <rFont val="돋움"/>
        <family val="3"/>
        <charset val="129"/>
      </rPr>
      <t>위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매출</t>
    </r>
    <r>
      <rPr>
        <sz val="11"/>
        <color rgb="FF555555"/>
        <rFont val="Arial"/>
        <family val="2"/>
      </rPr>
      <t xml:space="preserve"> + </t>
    </r>
    <r>
      <rPr>
        <sz val="11"/>
        <color rgb="FF555555"/>
        <rFont val="돋움"/>
        <family val="3"/>
        <charset val="129"/>
      </rPr>
      <t>터블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매출</t>
    </r>
    <r>
      <rPr>
        <sz val="11"/>
        <color rgb="FF555555"/>
        <rFont val="Arial"/>
        <family val="2"/>
      </rPr>
      <t xml:space="preserve"> + </t>
    </r>
    <r>
      <rPr>
        <sz val="11"/>
        <color rgb="FF555555"/>
        <rFont val="돋움"/>
        <family val="3"/>
        <charset val="129"/>
      </rPr>
      <t>대비</t>
    </r>
    <r>
      <rPr>
        <sz val="11"/>
        <color rgb="FF555555"/>
        <rFont val="Arial"/>
        <family val="2"/>
      </rPr>
      <t xml:space="preserve"> </t>
    </r>
    <r>
      <rPr>
        <sz val="11"/>
        <color rgb="FF555555"/>
        <rFont val="돋움"/>
        <family val="3"/>
        <charset val="129"/>
      </rPr>
      <t>배수</t>
    </r>
    <phoneticPr fontId="18" type="noConversion"/>
  </si>
  <si>
    <r>
      <rPr>
        <b/>
        <sz val="9"/>
        <color rgb="FFFFFFFF"/>
        <rFont val="돋움"/>
        <family val="3"/>
        <charset val="129"/>
      </rPr>
      <t>터블</t>
    </r>
    <r>
      <rPr>
        <b/>
        <sz val="9"/>
        <color rgb="FFFFFFFF"/>
        <rFont val="Arial"/>
        <family val="2"/>
      </rPr>
      <t xml:space="preserve">
</t>
    </r>
    <r>
      <rPr>
        <b/>
        <sz val="9"/>
        <color rgb="FFFFFFFF"/>
        <rFont val="돋움"/>
        <family val="3"/>
        <charset val="129"/>
      </rPr>
      <t>매출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돋움"/>
        <family val="3"/>
        <charset val="129"/>
      </rPr>
      <t>억</t>
    </r>
    <r>
      <rPr>
        <b/>
        <sz val="9"/>
        <color rgb="FFFFFFFF"/>
        <rFont val="Arial"/>
        <family val="2"/>
      </rPr>
      <t>)</t>
    </r>
    <phoneticPr fontId="18" type="noConversion"/>
  </si>
  <si>
    <r>
      <rPr>
        <sz val="9"/>
        <color rgb="FF212121"/>
        <rFont val="돋움"/>
        <family val="3"/>
        <charset val="129"/>
      </rPr>
      <t>판매중</t>
    </r>
    <r>
      <rPr>
        <sz val="9"/>
        <color rgb="FF212121"/>
        <rFont val="Arial"/>
        <family val="2"/>
      </rPr>
      <t>(3SKU)</t>
    </r>
    <phoneticPr fontId="18" type="noConversion"/>
  </si>
  <si>
    <r>
      <rPr>
        <sz val="9"/>
        <color rgb="FF212121"/>
        <rFont val="돋움"/>
        <family val="3"/>
        <charset val="129"/>
      </rPr>
      <t>판매중</t>
    </r>
    <r>
      <rPr>
        <sz val="9"/>
        <color rgb="FF212121"/>
        <rFont val="Arial"/>
        <family val="2"/>
      </rPr>
      <t>(5SKU)</t>
    </r>
    <phoneticPr fontId="18" type="noConversion"/>
  </si>
  <si>
    <r>
      <rPr>
        <sz val="9"/>
        <color rgb="FF212121"/>
        <rFont val="돋움"/>
        <family val="3"/>
        <charset val="129"/>
      </rPr>
      <t>런칭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검토</t>
    </r>
    <r>
      <rPr>
        <sz val="9"/>
        <color rgb="FF212121"/>
        <rFont val="Arial"/>
        <family val="2"/>
      </rPr>
      <t xml:space="preserve"> </t>
    </r>
    <phoneticPr fontId="18" type="noConversion"/>
  </si>
  <si>
    <r>
      <t>6</t>
    </r>
    <r>
      <rPr>
        <sz val="9"/>
        <color rgb="FF212121"/>
        <rFont val="돋움"/>
        <family val="3"/>
        <charset val="129"/>
      </rPr>
      <t>월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리뉴얼</t>
    </r>
    <phoneticPr fontId="18" type="noConversion"/>
  </si>
  <si>
    <t>세정티슈</t>
    <phoneticPr fontId="18" type="noConversion"/>
  </si>
  <si>
    <t>판매중</t>
    <phoneticPr fontId="18" type="noConversion"/>
  </si>
  <si>
    <r>
      <t xml:space="preserve">🟢 </t>
    </r>
    <r>
      <rPr>
        <b/>
        <sz val="11"/>
        <color rgb="FF212121"/>
        <rFont val="돋움"/>
        <family val="3"/>
        <charset val="129"/>
      </rPr>
      <t>선도</t>
    </r>
    <r>
      <rPr>
        <b/>
        <sz val="11"/>
        <color rgb="FF212121"/>
        <rFont val="Arial"/>
        <family val="2"/>
      </rPr>
      <t xml:space="preserve"> (1</t>
    </r>
    <r>
      <rPr>
        <b/>
        <sz val="11"/>
        <color rgb="FF212121"/>
        <rFont val="돋움"/>
        <family val="3"/>
        <charset val="129"/>
      </rPr>
      <t>개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텀블러</t>
    </r>
    <r>
      <rPr>
        <b/>
        <sz val="11"/>
        <color rgb="FF212121"/>
        <rFont val="Arial"/>
        <family val="2"/>
      </rPr>
      <t xml:space="preserve">)   |   🟡 </t>
    </r>
    <r>
      <rPr>
        <b/>
        <sz val="11"/>
        <color rgb="FF212121"/>
        <rFont val="돋움"/>
        <family val="3"/>
        <charset val="129"/>
      </rPr>
      <t>유지</t>
    </r>
    <r>
      <rPr>
        <b/>
        <sz val="11"/>
        <color rgb="FF212121"/>
        <rFont val="Arial"/>
        <family val="2"/>
      </rPr>
      <t xml:space="preserve"> (2</t>
    </r>
    <r>
      <rPr>
        <b/>
        <sz val="11"/>
        <color rgb="FF212121"/>
        <rFont val="돋움"/>
        <family val="3"/>
        <charset val="129"/>
      </rPr>
      <t>개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세탁조</t>
    </r>
    <r>
      <rPr>
        <b/>
        <sz val="11"/>
        <color rgb="FF212121"/>
        <rFont val="Arial"/>
        <family val="2"/>
      </rPr>
      <t>·</t>
    </r>
    <r>
      <rPr>
        <b/>
        <sz val="11"/>
        <color rgb="FF212121"/>
        <rFont val="돋움"/>
        <family val="3"/>
        <charset val="129"/>
      </rPr>
      <t>주방</t>
    </r>
    <r>
      <rPr>
        <b/>
        <sz val="11"/>
        <color rgb="FF212121"/>
        <rFont val="Arial"/>
        <family val="2"/>
      </rPr>
      <t xml:space="preserve">)   |   🟠 </t>
    </r>
    <r>
      <rPr>
        <b/>
        <sz val="11"/>
        <color rgb="FF212121"/>
        <rFont val="돋움"/>
        <family val="3"/>
        <charset val="129"/>
      </rPr>
      <t>성장</t>
    </r>
    <r>
      <rPr>
        <b/>
        <sz val="11"/>
        <color rgb="FF212121"/>
        <rFont val="Arial"/>
        <family val="2"/>
      </rPr>
      <t xml:space="preserve"> (1</t>
    </r>
    <r>
      <rPr>
        <b/>
        <sz val="11"/>
        <color rgb="FF212121"/>
        <rFont val="돋움"/>
        <family val="3"/>
        <charset val="129"/>
      </rPr>
      <t>개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세탁세제</t>
    </r>
    <r>
      <rPr>
        <b/>
        <sz val="11"/>
        <color rgb="FF212121"/>
        <rFont val="Arial"/>
        <family val="2"/>
      </rPr>
      <t xml:space="preserve">)   |   🔴 </t>
    </r>
    <r>
      <rPr>
        <b/>
        <sz val="11"/>
        <color rgb="FF212121"/>
        <rFont val="돋움"/>
        <family val="3"/>
        <charset val="129"/>
      </rPr>
      <t>약세</t>
    </r>
    <r>
      <rPr>
        <b/>
        <sz val="11"/>
        <color rgb="FF212121"/>
        <rFont val="Arial"/>
        <family val="2"/>
      </rPr>
      <t xml:space="preserve"> (3</t>
    </r>
    <r>
      <rPr>
        <b/>
        <sz val="11"/>
        <color rgb="FF212121"/>
        <rFont val="돋움"/>
        <family val="3"/>
        <charset val="129"/>
      </rPr>
      <t>개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이염방지</t>
    </r>
    <r>
      <rPr>
        <b/>
        <sz val="11"/>
        <color rgb="FF212121"/>
        <rFont val="Arial"/>
        <family val="2"/>
      </rPr>
      <t>·</t>
    </r>
    <r>
      <rPr>
        <b/>
        <sz val="11"/>
        <color rgb="FF212121"/>
        <rFont val="돋움"/>
        <family val="3"/>
        <charset val="129"/>
      </rPr>
      <t>식세기</t>
    </r>
    <r>
      <rPr>
        <b/>
        <sz val="11"/>
        <color rgb="FF212121"/>
        <rFont val="Arial"/>
        <family val="2"/>
      </rPr>
      <t>·</t>
    </r>
    <r>
      <rPr>
        <b/>
        <sz val="11"/>
        <color rgb="FF212121"/>
        <rFont val="돋움"/>
        <family val="3"/>
        <charset val="129"/>
      </rPr>
      <t>세정티슈</t>
    </r>
    <r>
      <rPr>
        <b/>
        <sz val="11"/>
        <color rgb="FF212121"/>
        <rFont val="Arial"/>
        <family val="2"/>
      </rPr>
      <t>,</t>
    </r>
    <r>
      <rPr>
        <b/>
        <sz val="11"/>
        <color rgb="FF212121"/>
        <rFont val="돋움"/>
        <family val="3"/>
        <charset val="129"/>
      </rPr>
      <t>탈취제</t>
    </r>
    <r>
      <rPr>
        <b/>
        <sz val="11"/>
        <color rgb="FF212121"/>
        <rFont val="Arial"/>
        <family val="2"/>
      </rPr>
      <t xml:space="preserve">)   |   🟣 </t>
    </r>
    <r>
      <rPr>
        <b/>
        <sz val="11"/>
        <color rgb="FF212121"/>
        <rFont val="돋움"/>
        <family val="3"/>
        <charset val="129"/>
      </rPr>
      <t>신규검토</t>
    </r>
    <r>
      <rPr>
        <b/>
        <sz val="11"/>
        <color rgb="FF212121"/>
        <rFont val="Arial"/>
        <family val="2"/>
      </rPr>
      <t xml:space="preserve"> (3</t>
    </r>
    <r>
      <rPr>
        <b/>
        <sz val="11"/>
        <color rgb="FF212121"/>
        <rFont val="돋움"/>
        <family val="3"/>
        <charset val="129"/>
      </rPr>
      <t>개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얼룩</t>
    </r>
    <r>
      <rPr>
        <b/>
        <sz val="11"/>
        <color rgb="FF212121"/>
        <rFont val="Arial"/>
        <family val="2"/>
      </rPr>
      <t>·</t>
    </r>
    <r>
      <rPr>
        <b/>
        <sz val="11"/>
        <color rgb="FF212121"/>
        <rFont val="돋움"/>
        <family val="3"/>
        <charset val="129"/>
      </rPr>
      <t>드라이</t>
    </r>
    <r>
      <rPr>
        <b/>
        <sz val="11"/>
        <color rgb="FF212121"/>
        <rFont val="Arial"/>
        <family val="2"/>
      </rPr>
      <t>·</t>
    </r>
    <r>
      <rPr>
        <b/>
        <sz val="11"/>
        <color rgb="FF212121"/>
        <rFont val="돋움"/>
        <family val="3"/>
        <charset val="129"/>
      </rPr>
      <t>변기</t>
    </r>
    <r>
      <rPr>
        <b/>
        <sz val="11"/>
        <color rgb="FF212121"/>
        <rFont val="Arial"/>
        <family val="2"/>
      </rPr>
      <t xml:space="preserve">)  </t>
    </r>
    <phoneticPr fontId="18" type="noConversion"/>
  </si>
  <si>
    <r>
      <rPr>
        <b/>
        <sz val="9"/>
        <color rgb="FF212121"/>
        <rFont val="돋움"/>
        <family val="3"/>
        <charset val="129"/>
      </rPr>
      <t>세탁세제</t>
    </r>
    <r>
      <rPr>
        <b/>
        <sz val="9"/>
        <color rgb="FF212121"/>
        <rFont val="Arial"/>
        <family val="2"/>
      </rPr>
      <t xml:space="preserve"> </t>
    </r>
    <phoneticPr fontId="18" type="noConversion"/>
  </si>
  <si>
    <r>
      <rPr>
        <b/>
        <sz val="9"/>
        <color rgb="FFFFFFFF"/>
        <rFont val="돋움"/>
        <family val="3"/>
        <charset val="129"/>
      </rPr>
      <t>쿠팡
월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판매
수량</t>
    </r>
    <phoneticPr fontId="18" type="noConversion"/>
  </si>
  <si>
    <r>
      <rPr>
        <b/>
        <sz val="9"/>
        <color rgb="FFFFFFFF"/>
        <rFont val="돋움"/>
        <family val="3"/>
        <charset val="129"/>
      </rPr>
      <t>쿠팡
연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판매
수량</t>
    </r>
    <phoneticPr fontId="18" type="noConversion"/>
  </si>
  <si>
    <r>
      <rPr>
        <b/>
        <sz val="9"/>
        <color rgb="FFFFFFFF"/>
        <rFont val="돋움"/>
        <family val="3"/>
        <charset val="129"/>
      </rPr>
      <t>터블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시장</t>
    </r>
    <r>
      <rPr>
        <b/>
        <sz val="9"/>
        <color rgb="FFFFFFFF"/>
        <rFont val="Arial"/>
        <family val="2"/>
      </rPr>
      <t xml:space="preserve">
</t>
    </r>
    <r>
      <rPr>
        <b/>
        <sz val="9"/>
        <color rgb="FFFFFFFF"/>
        <rFont val="돋움"/>
        <family val="3"/>
        <charset val="129"/>
      </rPr>
      <t>점유율</t>
    </r>
    <r>
      <rPr>
        <b/>
        <sz val="9"/>
        <color rgb="FFFFFFFF"/>
        <rFont val="Arial"/>
        <family val="2"/>
      </rPr>
      <t>(%)</t>
    </r>
    <phoneticPr fontId="18" type="noConversion"/>
  </si>
  <si>
    <t xml:space="preserve">- </t>
    <phoneticPr fontId="18" type="noConversion"/>
  </si>
  <si>
    <r>
      <t>1/2.5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</t>
    </r>
    <phoneticPr fontId="18" type="noConversion"/>
  </si>
  <si>
    <r>
      <rPr>
        <sz val="9"/>
        <color rgb="FF212121"/>
        <rFont val="돋움"/>
        <family val="3"/>
        <charset val="129"/>
      </rPr>
      <t>터블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유일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선도</t>
    </r>
    <r>
      <rPr>
        <sz val="9"/>
        <color rgb="FF212121"/>
        <rFont val="Arial"/>
        <family val="2"/>
      </rPr>
      <t xml:space="preserve"> / 1</t>
    </r>
    <r>
      <rPr>
        <sz val="9"/>
        <color rgb="FF212121"/>
        <rFont val="돋움"/>
        <family val="3"/>
        <charset val="129"/>
      </rPr>
      <t>위</t>
    </r>
    <r>
      <rPr>
        <sz val="9"/>
        <color rgb="FF212121"/>
        <rFont val="Arial"/>
        <family val="2"/>
      </rPr>
      <t xml:space="preserve"> 2.84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vs </t>
    </r>
    <r>
      <rPr>
        <sz val="9"/>
        <color rgb="FF212121"/>
        <rFont val="돋움"/>
        <family val="3"/>
        <charset val="129"/>
      </rPr>
      <t>터블</t>
    </r>
    <r>
      <rPr>
        <sz val="9"/>
        <color rgb="FF212121"/>
        <rFont val="Arial"/>
        <family val="2"/>
      </rPr>
      <t xml:space="preserve"> 7.07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= </t>
    </r>
    <r>
      <rPr>
        <sz val="9"/>
        <color rgb="FF212121"/>
        <rFont val="돋움"/>
        <family val="3"/>
        <charset val="129"/>
      </rPr>
      <t>터블이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약</t>
    </r>
    <r>
      <rPr>
        <sz val="9"/>
        <color rgb="FF212121"/>
        <rFont val="Arial"/>
        <family val="2"/>
      </rPr>
      <t xml:space="preserve"> 2.5</t>
    </r>
    <r>
      <rPr>
        <sz val="9"/>
        <color rgb="FF212121"/>
        <rFont val="돋움"/>
        <family val="3"/>
        <charset val="129"/>
      </rPr>
      <t>배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큼</t>
    </r>
    <phoneticPr fontId="18" type="noConversion"/>
  </si>
  <si>
    <r>
      <rPr>
        <sz val="9"/>
        <color rgb="FF212121"/>
        <rFont val="돋움"/>
        <family val="3"/>
        <charset val="129"/>
      </rPr>
      <t>대형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시장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허글리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급성장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터블</t>
    </r>
    <r>
      <rPr>
        <sz val="9"/>
        <color rgb="FF212121"/>
        <rFont val="Arial"/>
        <family val="2"/>
      </rPr>
      <t xml:space="preserve"> 0.12% </t>
    </r>
    <r>
      <rPr>
        <sz val="9"/>
        <color rgb="FF212121"/>
        <rFont val="돋움"/>
        <family val="3"/>
        <charset val="129"/>
      </rPr>
      <t>점유율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기타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브랜드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확장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주의</t>
    </r>
    <phoneticPr fontId="18" type="noConversion"/>
  </si>
  <si>
    <r>
      <rPr>
        <sz val="9"/>
        <color rgb="FF212121"/>
        <rFont val="돋움"/>
        <family val="3"/>
        <charset val="129"/>
      </rPr>
      <t>마이비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단일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주도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비트는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분산</t>
    </r>
    <r>
      <rPr>
        <sz val="9"/>
        <color rgb="FF212121"/>
        <rFont val="Arial"/>
        <family val="2"/>
      </rPr>
      <t xml:space="preserve"> </t>
    </r>
    <phoneticPr fontId="18" type="noConversion"/>
  </si>
  <si>
    <r>
      <rPr>
        <sz val="9"/>
        <color rgb="FF212121"/>
        <rFont val="돋움"/>
        <family val="3"/>
        <charset val="129"/>
      </rPr>
      <t>르샤트라</t>
    </r>
    <r>
      <rPr>
        <sz val="9"/>
        <color rgb="FF212121"/>
        <rFont val="Arial"/>
        <family val="2"/>
      </rPr>
      <t xml:space="preserve"> 1</t>
    </r>
    <r>
      <rPr>
        <sz val="9"/>
        <color rgb="FF212121"/>
        <rFont val="돋움"/>
        <family val="3"/>
        <charset val="129"/>
      </rPr>
      <t>위</t>
    </r>
    <r>
      <rPr>
        <sz val="9"/>
        <color rgb="FF212121"/>
        <rFont val="Arial"/>
        <family val="2"/>
      </rPr>
      <t xml:space="preserve"> 25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대형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브랜드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분산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시장</t>
    </r>
    <r>
      <rPr>
        <sz val="9"/>
        <color rgb="FF212121"/>
        <rFont val="Arial"/>
        <family val="2"/>
      </rPr>
      <t xml:space="preserve"> 225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경쟁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중</t>
    </r>
    <phoneticPr fontId="18" type="noConversion"/>
  </si>
  <si>
    <r>
      <rPr>
        <sz val="9"/>
        <color rgb="FF212121"/>
        <rFont val="돋움"/>
        <family val="3"/>
        <charset val="129"/>
      </rPr>
      <t>프릴</t>
    </r>
    <r>
      <rPr>
        <sz val="9"/>
        <color rgb="FF212121"/>
        <rFont val="Arial"/>
        <family val="2"/>
      </rPr>
      <t xml:space="preserve"> 40.7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1</t>
    </r>
    <r>
      <rPr>
        <sz val="9"/>
        <color rgb="FF212121"/>
        <rFont val="돋움"/>
        <family val="3"/>
        <charset val="129"/>
      </rPr>
      <t>위</t>
    </r>
    <r>
      <rPr>
        <sz val="9"/>
        <color rgb="FF212121"/>
        <rFont val="Arial"/>
        <family val="2"/>
      </rPr>
      <t xml:space="preserve"> / Top5 </t>
    </r>
    <r>
      <rPr>
        <sz val="9"/>
        <color rgb="FF212121"/>
        <rFont val="돋움"/>
        <family val="3"/>
        <charset val="129"/>
      </rPr>
      <t>합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약</t>
    </r>
    <r>
      <rPr>
        <sz val="9"/>
        <color rgb="FF212121"/>
        <rFont val="Arial"/>
        <family val="2"/>
      </rPr>
      <t xml:space="preserve"> 93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시장</t>
    </r>
    <r>
      <rPr>
        <sz val="9"/>
        <color rgb="FF212121"/>
        <rFont val="Arial"/>
        <family val="2"/>
      </rPr>
      <t xml:space="preserve"> 3,250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대비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분산</t>
    </r>
    <phoneticPr fontId="18" type="noConversion"/>
  </si>
  <si>
    <r>
      <rPr>
        <sz val="9"/>
        <color rgb="FF212121"/>
        <rFont val="돋움"/>
        <family val="3"/>
        <charset val="129"/>
      </rPr>
      <t>자연퐁</t>
    </r>
    <r>
      <rPr>
        <sz val="9"/>
        <color rgb="FF212121"/>
        <rFont val="Arial"/>
        <family val="2"/>
      </rPr>
      <t>·</t>
    </r>
    <r>
      <rPr>
        <sz val="9"/>
        <color rgb="FF212121"/>
        <rFont val="돋움"/>
        <family val="3"/>
        <charset val="129"/>
      </rPr>
      <t>프로쉬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양강</t>
    </r>
    <r>
      <rPr>
        <sz val="9"/>
        <color rgb="FF212121"/>
        <rFont val="Arial"/>
        <family val="2"/>
      </rPr>
      <t xml:space="preserve"> / AC</t>
    </r>
    <r>
      <rPr>
        <sz val="9"/>
        <color rgb="FF212121"/>
        <rFont val="돋움"/>
        <family val="3"/>
        <charset val="129"/>
      </rPr>
      <t>닐슨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공식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자연퐁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주방</t>
    </r>
    <r>
      <rPr>
        <sz val="9"/>
        <color rgb="FF212121"/>
        <rFont val="Arial"/>
        <family val="2"/>
      </rPr>
      <t xml:space="preserve"> 42.7% / </t>
    </r>
    <r>
      <rPr>
        <sz val="9"/>
        <color rgb="FF212121"/>
        <rFont val="돋움"/>
        <family val="3"/>
        <charset val="129"/>
      </rPr>
      <t>식세기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점유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별도</t>
    </r>
    <phoneticPr fontId="18" type="noConversion"/>
  </si>
  <si>
    <r>
      <t xml:space="preserve"> </t>
    </r>
    <r>
      <rPr>
        <sz val="9"/>
        <color rgb="FF212121"/>
        <rFont val="돋움"/>
        <family val="3"/>
        <charset val="129"/>
      </rPr>
      <t>네이버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기준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더티린넨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압도</t>
    </r>
    <r>
      <rPr>
        <sz val="9"/>
        <color rgb="FF212121"/>
        <rFont val="Arial"/>
        <family val="2"/>
      </rPr>
      <t xml:space="preserve"> </t>
    </r>
    <phoneticPr fontId="18" type="noConversion"/>
  </si>
  <si>
    <r>
      <rPr>
        <sz val="9"/>
        <color rgb="FF212121"/>
        <rFont val="돋움"/>
        <family val="3"/>
        <charset val="129"/>
      </rPr>
      <t>홈스타</t>
    </r>
    <r>
      <rPr>
        <sz val="9"/>
        <color rgb="FF212121"/>
        <rFont val="Arial"/>
        <family val="2"/>
      </rPr>
      <t xml:space="preserve"> 6.72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이지드롭</t>
    </r>
    <r>
      <rPr>
        <sz val="9"/>
        <color rgb="FF212121"/>
        <rFont val="Arial"/>
        <family val="2"/>
      </rPr>
      <t xml:space="preserve"> 9.61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(</t>
    </r>
    <r>
      <rPr>
        <sz val="9"/>
        <color rgb="FF212121"/>
        <rFont val="돋움"/>
        <family val="3"/>
        <charset val="129"/>
      </rPr>
      <t>쿠팡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실측</t>
    </r>
    <r>
      <rPr>
        <sz val="9"/>
        <color rgb="FF212121"/>
        <rFont val="Arial"/>
        <family val="2"/>
      </rPr>
      <t xml:space="preserve"> 1</t>
    </r>
    <r>
      <rPr>
        <sz val="9"/>
        <color rgb="FF212121"/>
        <rFont val="돋움"/>
        <family val="3"/>
        <charset val="129"/>
      </rPr>
      <t>위</t>
    </r>
    <r>
      <rPr>
        <sz val="9"/>
        <color rgb="FF212121"/>
        <rFont val="Arial"/>
        <family val="2"/>
      </rPr>
      <t>) / 2</t>
    </r>
    <r>
      <rPr>
        <sz val="9"/>
        <color rgb="FF212121"/>
        <rFont val="돋움"/>
        <family val="3"/>
        <charset val="129"/>
      </rPr>
      <t>강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구조</t>
    </r>
    <phoneticPr fontId="18" type="noConversion"/>
  </si>
  <si>
    <r>
      <rPr>
        <sz val="9"/>
        <color rgb="FF555555"/>
        <rFont val="돋움"/>
        <family val="3"/>
        <charset val="129"/>
      </rPr>
      <t>②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쿠팡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실측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월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판매수량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출처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쿠팡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상품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페이지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공개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데이터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기반</t>
    </r>
    <phoneticPr fontId="18" type="noConversion"/>
  </si>
  <si>
    <r>
      <rPr>
        <b/>
        <sz val="22"/>
        <color rgb="FF1E2761"/>
        <rFont val="돋움"/>
        <family val="3"/>
        <charset val="129"/>
      </rPr>
      <t>카테고리별</t>
    </r>
    <r>
      <rPr>
        <b/>
        <sz val="22"/>
        <color rgb="FF1E2761"/>
        <rFont val="Arial Black"/>
        <family val="2"/>
      </rPr>
      <t xml:space="preserve"> Top 5 </t>
    </r>
    <r>
      <rPr>
        <b/>
        <sz val="22"/>
        <color rgb="FF1E2761"/>
        <rFont val="돋움"/>
        <family val="3"/>
        <charset val="129"/>
      </rPr>
      <t>경쟁사</t>
    </r>
    <r>
      <rPr>
        <b/>
        <sz val="22"/>
        <color rgb="FF1E2761"/>
        <rFont val="Arial Black"/>
        <family val="2"/>
      </rPr>
      <t xml:space="preserve"> (</t>
    </r>
    <r>
      <rPr>
        <b/>
        <sz val="22"/>
        <color rgb="FF1E2761"/>
        <rFont val="돋움"/>
        <family val="3"/>
        <charset val="129"/>
      </rPr>
      <t>쿠팡</t>
    </r>
    <r>
      <rPr>
        <b/>
        <sz val="22"/>
        <color rgb="FF1E2761"/>
        <rFont val="Arial Black"/>
        <family val="2"/>
      </rPr>
      <t xml:space="preserve"> </t>
    </r>
    <r>
      <rPr>
        <b/>
        <sz val="22"/>
        <color rgb="FF1E2761"/>
        <rFont val="돋움"/>
        <family val="3"/>
        <charset val="129"/>
      </rPr>
      <t>실측</t>
    </r>
    <r>
      <rPr>
        <b/>
        <sz val="22"/>
        <color rgb="FF1E2761"/>
        <rFont val="Arial Black"/>
        <family val="2"/>
      </rPr>
      <t xml:space="preserve"> </t>
    </r>
    <r>
      <rPr>
        <b/>
        <sz val="22"/>
        <color rgb="FF1E2761"/>
        <rFont val="돋움"/>
        <family val="3"/>
        <charset val="129"/>
      </rPr>
      <t>매출</t>
    </r>
    <r>
      <rPr>
        <b/>
        <sz val="22"/>
        <color rgb="FF1E2761"/>
        <rFont val="Arial Black"/>
        <family val="2"/>
      </rPr>
      <t xml:space="preserve"> </t>
    </r>
    <r>
      <rPr>
        <b/>
        <sz val="22"/>
        <color rgb="FF1E2761"/>
        <rFont val="돋움"/>
        <family val="3"/>
        <charset val="129"/>
      </rPr>
      <t>기준</t>
    </r>
    <r>
      <rPr>
        <b/>
        <sz val="22"/>
        <color rgb="FF1E2761"/>
        <rFont val="Arial Black"/>
        <family val="2"/>
      </rPr>
      <t>)</t>
    </r>
    <phoneticPr fontId="18" type="noConversion"/>
  </si>
  <si>
    <r>
      <rPr>
        <sz val="9"/>
        <color rgb="FF555555"/>
        <rFont val="돋움"/>
        <family val="3"/>
        <charset val="129"/>
      </rPr>
      <t>※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산식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돋움"/>
        <family val="3"/>
        <charset val="129"/>
      </rPr>
      <t>월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판매수량</t>
    </r>
    <r>
      <rPr>
        <sz val="9"/>
        <color rgb="FF555555"/>
        <rFont val="Arial"/>
        <family val="2"/>
      </rPr>
      <t xml:space="preserve"> × 12</t>
    </r>
    <r>
      <rPr>
        <sz val="9"/>
        <color rgb="FF555555"/>
        <rFont val="돋움"/>
        <family val="3"/>
        <charset val="129"/>
      </rPr>
      <t>개월</t>
    </r>
    <r>
      <rPr>
        <sz val="9"/>
        <color rgb="FF555555"/>
        <rFont val="Arial"/>
        <family val="2"/>
      </rPr>
      <t xml:space="preserve"> × </t>
    </r>
    <r>
      <rPr>
        <sz val="9"/>
        <color rgb="FF555555"/>
        <rFont val="돋움"/>
        <family val="3"/>
        <charset val="129"/>
      </rPr>
      <t>판가</t>
    </r>
    <r>
      <rPr>
        <sz val="9"/>
        <color rgb="FF555555"/>
        <rFont val="Arial"/>
        <family val="2"/>
      </rPr>
      <t xml:space="preserve"> = </t>
    </r>
    <r>
      <rPr>
        <sz val="9"/>
        <color rgb="FF555555"/>
        <rFont val="돋움"/>
        <family val="3"/>
        <charset val="129"/>
      </rPr>
      <t>연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매출</t>
    </r>
    <r>
      <rPr>
        <sz val="9"/>
        <color rgb="FF555555"/>
        <rFont val="Arial"/>
        <family val="2"/>
      </rPr>
      <t xml:space="preserve"> (</t>
    </r>
    <r>
      <rPr>
        <sz val="9"/>
        <color rgb="FF555555"/>
        <rFont val="돋움"/>
        <family val="3"/>
        <charset val="129"/>
      </rPr>
      <t>원</t>
    </r>
    <r>
      <rPr>
        <sz val="9"/>
        <color rgb="FF555555"/>
        <rFont val="Arial"/>
        <family val="2"/>
      </rPr>
      <t xml:space="preserve">) / </t>
    </r>
    <r>
      <rPr>
        <sz val="9"/>
        <color rgb="FF555555"/>
        <rFont val="돋움"/>
        <family val="3"/>
        <charset val="129"/>
      </rPr>
      <t>점유율</t>
    </r>
    <r>
      <rPr>
        <sz val="9"/>
        <color rgb="FF555555"/>
        <rFont val="Arial"/>
        <family val="2"/>
      </rPr>
      <t xml:space="preserve"> = </t>
    </r>
    <r>
      <rPr>
        <sz val="9"/>
        <color rgb="FF555555"/>
        <rFont val="돋움"/>
        <family val="3"/>
        <charset val="129"/>
      </rPr>
      <t>연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매출</t>
    </r>
    <r>
      <rPr>
        <sz val="9"/>
        <color rgb="FF555555"/>
        <rFont val="Arial"/>
        <family val="2"/>
      </rPr>
      <t xml:space="preserve"> / </t>
    </r>
    <r>
      <rPr>
        <sz val="9"/>
        <color rgb="FF555555"/>
        <rFont val="돋움"/>
        <family val="3"/>
        <charset val="129"/>
      </rPr>
      <t>카테고리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시장규모</t>
    </r>
    <r>
      <rPr>
        <sz val="9"/>
        <color rgb="FF555555"/>
        <rFont val="Arial"/>
        <family val="2"/>
      </rPr>
      <t xml:space="preserve"> /</t>
    </r>
    <phoneticPr fontId="18" type="noConversion"/>
  </si>
  <si>
    <t>★터블</t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</si>
  <si>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아쿠아블루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퍼퓸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등</t>
    </r>
    <r>
      <rPr>
        <sz val="10"/>
        <color rgb="FF212121"/>
        <rFont val="Arial"/>
        <family val="2"/>
      </rPr>
      <t xml:space="preserve"> 4</t>
    </r>
    <r>
      <rPr>
        <sz val="10"/>
        <color rgb="FF212121"/>
        <rFont val="돋움"/>
        <family val="3"/>
        <charset val="129"/>
      </rPr>
      <t>종</t>
    </r>
    <r>
      <rPr>
        <sz val="10"/>
        <color rgb="FF212121"/>
        <rFont val="Arial"/>
        <family val="2"/>
      </rPr>
      <t xml:space="preserve"> / ERP </t>
    </r>
    <r>
      <rPr>
        <sz val="10"/>
        <color rgb="FF212121"/>
        <rFont val="돋움"/>
        <family val="3"/>
        <charset val="129"/>
      </rPr>
      <t>매출</t>
    </r>
    <r>
      <rPr>
        <sz val="10"/>
        <color rgb="FF212121"/>
        <rFont val="Arial"/>
        <family val="2"/>
      </rPr>
      <t xml:space="preserve"> 10.16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점유율</t>
    </r>
    <r>
      <rPr>
        <sz val="10"/>
        <color rgb="FF212121"/>
        <rFont val="Arial"/>
        <family val="2"/>
      </rPr>
      <t xml:space="preserve"> 0.12% / 1</t>
    </r>
    <r>
      <rPr>
        <sz val="10"/>
        <color rgb="FF212121"/>
        <rFont val="돋움"/>
        <family val="3"/>
        <charset val="129"/>
      </rPr>
      <t>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허글리</t>
    </r>
    <r>
      <rPr>
        <sz val="10"/>
        <color rgb="FF212121"/>
        <rFont val="Arial"/>
        <family val="2"/>
      </rPr>
      <t xml:space="preserve"> 53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대비</t>
    </r>
    <r>
      <rPr>
        <sz val="10"/>
        <color rgb="FF212121"/>
        <rFont val="Arial"/>
        <family val="2"/>
      </rPr>
      <t xml:space="preserve"> 5.2</t>
    </r>
    <r>
      <rPr>
        <sz val="10"/>
        <color rgb="FF212121"/>
        <rFont val="돋움"/>
        <family val="3"/>
        <charset val="129"/>
      </rPr>
      <t>배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차이</t>
    </r>
    <phoneticPr fontId="18" type="noConversion"/>
  </si>
  <si>
    <r>
      <rPr>
        <b/>
        <sz val="9"/>
        <color rgb="FFFFFFFF"/>
        <rFont val="돋움"/>
        <family val="3"/>
        <charset val="129"/>
      </rPr>
      <t>터블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대비</t>
    </r>
    <phoneticPr fontId="18" type="noConversion"/>
  </si>
  <si>
    <r>
      <t>5.2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10.16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</si>
  <si>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3.9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10.16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</si>
  <si>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1.0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10.16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</si>
  <si>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1.4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10.16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</si>
  <si>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1.1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10.16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</si>
  <si>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캡슐세제</t>
    </r>
    <r>
      <rPr>
        <b/>
        <sz val="12"/>
        <color rgb="FF1E2761"/>
        <rFont val="Arial Black"/>
        <family val="2"/>
      </rPr>
      <t xml:space="preserve">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8,500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>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점유율</t>
    </r>
    <r>
      <rPr>
        <b/>
        <sz val="12"/>
        <color rgb="FF1E2761"/>
        <rFont val="Arial Black"/>
        <family val="2"/>
      </rPr>
      <t xml:space="preserve"> 0.12%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</si>
  <si>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얼룩제거제</t>
    </r>
    <r>
      <rPr>
        <b/>
        <sz val="12"/>
        <color rgb="FF1E2761"/>
        <rFont val="Arial Black"/>
        <family val="2"/>
      </rPr>
      <t xml:space="preserve">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100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미진입</t>
    </r>
    <phoneticPr fontId="18" type="noConversion"/>
  </si>
  <si>
    <r>
      <rPr>
        <b/>
        <sz val="9"/>
        <color rgb="FFFFFFFF"/>
        <rFont val="돋움"/>
        <family val="3"/>
        <charset val="129"/>
      </rPr>
      <t>터블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대비</t>
    </r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</si>
  <si>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26 2H </t>
    </r>
    <r>
      <rPr>
        <sz val="10"/>
        <color rgb="FF212121"/>
        <rFont val="돋움"/>
        <family val="3"/>
        <charset val="129"/>
      </rPr>
      <t>신규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진입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검토</t>
    </r>
    <r>
      <rPr>
        <sz val="10"/>
        <color rgb="FF212121"/>
        <rFont val="Arial"/>
        <family val="2"/>
      </rPr>
      <t xml:space="preserve"> (9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런칭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예정</t>
    </r>
    <r>
      <rPr>
        <sz val="10"/>
        <color rgb="FF212121"/>
        <rFont val="Arial"/>
        <family val="2"/>
      </rPr>
      <t xml:space="preserve">, </t>
    </r>
    <r>
      <rPr>
        <sz val="10"/>
        <color rgb="FF212121"/>
        <rFont val="돋움"/>
        <family val="3"/>
        <charset val="129"/>
      </rPr>
      <t>얼룩</t>
    </r>
    <r>
      <rPr>
        <sz val="10"/>
        <color rgb="FF212121"/>
        <rFont val="Arial"/>
        <family val="2"/>
      </rPr>
      <t xml:space="preserve"> 5</t>
    </r>
    <r>
      <rPr>
        <sz val="10"/>
        <color rgb="FF212121"/>
        <rFont val="돋움"/>
        <family val="3"/>
        <charset val="129"/>
      </rPr>
      <t>종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세트</t>
    </r>
    <r>
      <rPr>
        <sz val="10"/>
        <color rgb="FF212121"/>
        <rFont val="Arial"/>
        <family val="2"/>
      </rPr>
      <t>)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</si>
  <si>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세탁조클리너</t>
    </r>
    <r>
      <rPr>
        <b/>
        <sz val="12"/>
        <color rgb="FF1E2761"/>
        <rFont val="Arial Black"/>
        <family val="2"/>
      </rPr>
      <t xml:space="preserve">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250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점유율</t>
    </r>
    <r>
      <rPr>
        <b/>
        <sz val="12"/>
        <color rgb="FF1E2761"/>
        <rFont val="Arial Black"/>
        <family val="2"/>
      </rPr>
      <t xml:space="preserve"> 0.16%</t>
    </r>
    <phoneticPr fontId="18" type="noConversion"/>
  </si>
  <si>
    <r>
      <rPr>
        <b/>
        <sz val="9"/>
        <color rgb="FFFFFFFF"/>
        <rFont val="돋움"/>
        <family val="3"/>
        <charset val="129"/>
      </rPr>
      <t>터블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대비</t>
    </r>
    <phoneticPr fontId="18" type="noConversion"/>
  </si>
  <si>
    <r>
      <t>21.1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</si>
  <si>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15.0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</si>
  <si>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5.0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</si>
  <si>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39.4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</si>
  <si>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9.4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</si>
  <si>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세탁조클리너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판매중</t>
    </r>
    <r>
      <rPr>
        <sz val="10"/>
        <color rgb="FF212121"/>
        <rFont val="Arial"/>
        <family val="2"/>
      </rPr>
      <t xml:space="preserve"> / ERP </t>
    </r>
    <r>
      <rPr>
        <sz val="10"/>
        <color rgb="FF212121"/>
        <rFont val="돋움"/>
        <family val="3"/>
        <charset val="129"/>
      </rPr>
      <t>매출</t>
    </r>
    <r>
      <rPr>
        <sz val="10"/>
        <color rgb="FF212121"/>
        <rFont val="Arial"/>
        <family val="2"/>
      </rPr>
      <t xml:space="preserve"> 0.41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/ 1</t>
    </r>
    <r>
      <rPr>
        <sz val="10"/>
        <color rgb="FF212121"/>
        <rFont val="돋움"/>
        <family val="3"/>
        <charset val="129"/>
      </rPr>
      <t>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홈스타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대비</t>
    </r>
    <r>
      <rPr>
        <sz val="10"/>
        <color rgb="FF212121"/>
        <rFont val="Arial"/>
        <family val="2"/>
      </rPr>
      <t xml:space="preserve"> 21</t>
    </r>
    <r>
      <rPr>
        <sz val="10"/>
        <color rgb="FF212121"/>
        <rFont val="돋움"/>
        <family val="3"/>
        <charset val="129"/>
      </rPr>
      <t>배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</si>
  <si>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이염방지시트</t>
    </r>
    <r>
      <rPr>
        <b/>
        <sz val="12"/>
        <color rgb="FF1E2761"/>
        <rFont val="Arial Black"/>
        <family val="2"/>
      </rPr>
      <t xml:space="preserve">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85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점유율</t>
    </r>
    <r>
      <rPr>
        <b/>
        <sz val="12"/>
        <color rgb="FF1E2761"/>
        <rFont val="Arial Black"/>
        <family val="2"/>
      </rPr>
      <t xml:space="preserve"> 0.87%</t>
    </r>
    <phoneticPr fontId="18" type="noConversion"/>
  </si>
  <si>
    <r>
      <t>14.6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0.74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</si>
  <si>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3.4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0.74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</si>
  <si>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4.4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0.74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</si>
  <si>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4.8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0.74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</si>
  <si>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3.5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0.74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</si>
  <si>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이염방지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리뉴얼</t>
    </r>
    <r>
      <rPr>
        <sz val="10"/>
        <color rgb="FF212121"/>
        <rFont val="Arial"/>
        <family val="2"/>
      </rPr>
      <t xml:space="preserve"> (6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) / ERP </t>
    </r>
    <r>
      <rPr>
        <sz val="10"/>
        <color rgb="FF212121"/>
        <rFont val="돋움"/>
        <family val="3"/>
        <charset val="129"/>
      </rPr>
      <t>매출</t>
    </r>
    <r>
      <rPr>
        <sz val="10"/>
        <color rgb="FF212121"/>
        <rFont val="Arial"/>
        <family val="2"/>
      </rPr>
      <t xml:space="preserve"> 0.74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/ 1</t>
    </r>
    <r>
      <rPr>
        <sz val="10"/>
        <color rgb="FF212121"/>
        <rFont val="돋움"/>
        <family val="3"/>
        <charset val="129"/>
      </rPr>
      <t>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코멧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대비</t>
    </r>
    <r>
      <rPr>
        <sz val="10"/>
        <color rgb="FF212121"/>
        <rFont val="Arial"/>
        <family val="2"/>
      </rPr>
      <t xml:space="preserve"> 14.6</t>
    </r>
    <r>
      <rPr>
        <sz val="10"/>
        <color rgb="FF212121"/>
        <rFont val="돋움"/>
        <family val="3"/>
        <charset val="129"/>
      </rPr>
      <t>배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</si>
  <si>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드라이시트</t>
    </r>
    <r>
      <rPr>
        <b/>
        <sz val="12"/>
        <color rgb="FF1E2761"/>
        <rFont val="Arial Black"/>
        <family val="2"/>
      </rPr>
      <t>/</t>
    </r>
    <r>
      <rPr>
        <b/>
        <sz val="12"/>
        <color rgb="FF1E2761"/>
        <rFont val="돋움"/>
        <family val="3"/>
        <charset val="129"/>
      </rPr>
      <t>건조기시트</t>
    </r>
    <r>
      <rPr>
        <b/>
        <sz val="12"/>
        <color rgb="FF1E2761"/>
        <rFont val="Arial Black"/>
        <family val="2"/>
      </rPr>
      <t xml:space="preserve">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225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미진입</t>
    </r>
    <phoneticPr fontId="18" type="noConversion"/>
  </si>
  <si>
    <t>요약</t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</si>
  <si>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26 2H </t>
    </r>
    <r>
      <rPr>
        <sz val="10"/>
        <color rgb="FF212121"/>
        <rFont val="돋움"/>
        <family val="3"/>
        <charset val="129"/>
      </rPr>
      <t>신규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검토</t>
    </r>
    <r>
      <rPr>
        <sz val="10"/>
        <color rgb="FF212121"/>
        <rFont val="Arial"/>
        <family val="2"/>
      </rPr>
      <t xml:space="preserve"> (10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런칭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예정</t>
    </r>
    <r>
      <rPr>
        <sz val="10"/>
        <color rgb="FF212121"/>
        <rFont val="Arial"/>
        <family val="2"/>
      </rPr>
      <t>, 60</t>
    </r>
    <r>
      <rPr>
        <sz val="10"/>
        <color rgb="FF212121"/>
        <rFont val="돋움"/>
        <family val="3"/>
        <charset val="129"/>
      </rPr>
      <t>매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패키지</t>
    </r>
    <r>
      <rPr>
        <sz val="10"/>
        <color rgb="FF212121"/>
        <rFont val="Arial"/>
        <family val="2"/>
      </rPr>
      <t>)</t>
    </r>
    <phoneticPr fontId="18" type="noConversion"/>
  </si>
  <si>
    <r>
      <t>1</t>
    </r>
    <r>
      <rPr>
        <sz val="10"/>
        <color rgb="FF212121"/>
        <rFont val="돋움"/>
        <family val="3"/>
        <charset val="129"/>
      </rPr>
      <t>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르샤트라</t>
    </r>
    <r>
      <rPr>
        <sz val="10"/>
        <color rgb="FF212121"/>
        <rFont val="Arial"/>
        <family val="2"/>
      </rPr>
      <t xml:space="preserve"> 25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스너글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피죤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아우라</t>
    </r>
    <r>
      <rPr>
        <sz val="10"/>
        <color rgb="FF212121"/>
        <rFont val="Arial"/>
        <family val="2"/>
      </rPr>
      <t xml:space="preserve"> / Top5 </t>
    </r>
    <r>
      <rPr>
        <sz val="10"/>
        <color rgb="FF212121"/>
        <rFont val="돋움"/>
        <family val="3"/>
        <charset val="129"/>
      </rPr>
      <t>합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약</t>
    </r>
    <r>
      <rPr>
        <sz val="10"/>
        <color rgb="FF212121"/>
        <rFont val="Arial"/>
        <family val="2"/>
      </rPr>
      <t xml:space="preserve"> 87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(</t>
    </r>
    <r>
      <rPr>
        <sz val="10"/>
        <color rgb="FF212121"/>
        <rFont val="돋움"/>
        <family val="3"/>
        <charset val="129"/>
      </rPr>
      <t>시장</t>
    </r>
    <r>
      <rPr>
        <sz val="10"/>
        <color rgb="FF212121"/>
        <rFont val="Arial"/>
        <family val="2"/>
      </rPr>
      <t xml:space="preserve"> 38%) / </t>
    </r>
    <r>
      <rPr>
        <sz val="10"/>
        <color rgb="FF212121"/>
        <rFont val="돋움"/>
        <family val="3"/>
        <charset val="129"/>
      </rPr>
      <t>대형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브랜드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격전지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</si>
  <si>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주방세제</t>
    </r>
    <r>
      <rPr>
        <b/>
        <sz val="12"/>
        <color rgb="FF1E2761"/>
        <rFont val="Arial Black"/>
        <family val="2"/>
      </rPr>
      <t xml:space="preserve">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3,250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점유율</t>
    </r>
    <r>
      <rPr>
        <b/>
        <sz val="12"/>
        <color rgb="FF1E2761"/>
        <rFont val="Arial Black"/>
        <family val="2"/>
      </rPr>
      <t xml:space="preserve"> 0.01%</t>
    </r>
    <phoneticPr fontId="18" type="noConversion"/>
  </si>
  <si>
    <r>
      <t>156.5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0.26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</si>
  <si>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65.1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0.26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</si>
  <si>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69.2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0.26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</si>
  <si>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38.8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0.26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</si>
  <si>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30.4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0.26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</si>
  <si>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주방세제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판매중</t>
    </r>
    <r>
      <rPr>
        <sz val="10"/>
        <color rgb="FF212121"/>
        <rFont val="Arial"/>
        <family val="2"/>
      </rPr>
      <t xml:space="preserve"> / ERP </t>
    </r>
    <r>
      <rPr>
        <sz val="10"/>
        <color rgb="FF212121"/>
        <rFont val="돋움"/>
        <family val="3"/>
        <charset val="129"/>
      </rPr>
      <t>매출</t>
    </r>
    <r>
      <rPr>
        <sz val="10"/>
        <color rgb="FF212121"/>
        <rFont val="Arial"/>
        <family val="2"/>
      </rPr>
      <t xml:space="preserve"> 0.26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/ 1</t>
    </r>
    <r>
      <rPr>
        <sz val="10"/>
        <color rgb="FF212121"/>
        <rFont val="돋움"/>
        <family val="3"/>
        <charset val="129"/>
      </rPr>
      <t>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프릴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대비</t>
    </r>
    <r>
      <rPr>
        <sz val="10"/>
        <color rgb="FF212121"/>
        <rFont val="Arial"/>
        <family val="2"/>
      </rPr>
      <t xml:space="preserve"> 156</t>
    </r>
    <r>
      <rPr>
        <sz val="10"/>
        <color rgb="FF212121"/>
        <rFont val="돋움"/>
        <family val="3"/>
        <charset val="129"/>
      </rPr>
      <t>배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차이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</si>
  <si>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식기세척기세제</t>
    </r>
    <r>
      <rPr>
        <b/>
        <sz val="12"/>
        <color rgb="FF1E2761"/>
        <rFont val="Arial Black"/>
        <family val="2"/>
      </rPr>
      <t xml:space="preserve">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400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점유율</t>
    </r>
    <r>
      <rPr>
        <b/>
        <sz val="12"/>
        <color rgb="FF1E2761"/>
        <rFont val="Arial Black"/>
        <family val="2"/>
      </rPr>
      <t xml:space="preserve"> 0.10%</t>
    </r>
    <phoneticPr fontId="18" type="noConversion"/>
  </si>
  <si>
    <r>
      <rPr>
        <b/>
        <sz val="9"/>
        <color rgb="FFFFFFFF"/>
        <rFont val="돋움"/>
        <family val="3"/>
        <charset val="129"/>
      </rPr>
      <t>터블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대비</t>
    </r>
    <phoneticPr fontId="18" type="noConversion"/>
  </si>
  <si>
    <r>
      <t>32.8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</si>
  <si>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23.0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</si>
  <si>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9.5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</si>
  <si>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7.0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</si>
  <si>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t>5.0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(</t>
    </r>
    <r>
      <rPr>
        <b/>
        <sz val="9"/>
        <color rgb="FFC0392B"/>
        <rFont val="돋움"/>
        <family val="3"/>
        <charset val="129"/>
      </rPr>
      <t>터블</t>
    </r>
    <r>
      <rPr>
        <b/>
        <sz val="9"/>
        <color rgb="FFC0392B"/>
        <rFont val="Arial Black"/>
        <family val="2"/>
      </rPr>
      <t xml:space="preserve"> 0.41</t>
    </r>
    <r>
      <rPr>
        <b/>
        <sz val="9"/>
        <color rgb="FFC0392B"/>
        <rFont val="돋움"/>
        <family val="3"/>
        <charset val="129"/>
      </rPr>
      <t>억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대비</t>
    </r>
    <r>
      <rPr>
        <b/>
        <sz val="9"/>
        <color rgb="FFC0392B"/>
        <rFont val="Arial Black"/>
        <family val="2"/>
      </rPr>
      <t>)</t>
    </r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</si>
  <si>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식세기세제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판매중</t>
    </r>
    <r>
      <rPr>
        <sz val="10"/>
        <color rgb="FF212121"/>
        <rFont val="Arial"/>
        <family val="2"/>
      </rPr>
      <t xml:space="preserve"> / ERP </t>
    </r>
    <r>
      <rPr>
        <sz val="10"/>
        <color rgb="FF212121"/>
        <rFont val="돋움"/>
        <family val="3"/>
        <charset val="129"/>
      </rPr>
      <t>매출</t>
    </r>
    <r>
      <rPr>
        <sz val="10"/>
        <color rgb="FF212121"/>
        <rFont val="Arial"/>
        <family val="2"/>
      </rPr>
      <t xml:space="preserve"> 0.41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/ 1</t>
    </r>
    <r>
      <rPr>
        <sz val="10"/>
        <color rgb="FF212121"/>
        <rFont val="돋움"/>
        <family val="3"/>
        <charset val="129"/>
      </rPr>
      <t>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자연퐁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대비</t>
    </r>
    <r>
      <rPr>
        <sz val="10"/>
        <color rgb="FF212121"/>
        <rFont val="Arial"/>
        <family val="2"/>
      </rPr>
      <t xml:space="preserve"> 33</t>
    </r>
    <r>
      <rPr>
        <sz val="10"/>
        <color rgb="FF212121"/>
        <rFont val="돋움"/>
        <family val="3"/>
        <charset val="129"/>
      </rPr>
      <t>배</t>
    </r>
    <phoneticPr fontId="18" type="noConversion"/>
  </si>
  <si>
    <r>
      <t>1</t>
    </r>
    <r>
      <rPr>
        <sz val="10"/>
        <color rgb="FF212121"/>
        <rFont val="돋움"/>
        <family val="3"/>
        <charset val="129"/>
      </rPr>
      <t>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자연퐁</t>
    </r>
    <r>
      <rPr>
        <sz val="10"/>
        <color rgb="FF212121"/>
        <rFont val="Arial"/>
        <family val="2"/>
      </rPr>
      <t xml:space="preserve"> 13.45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프로쉬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친환경</t>
    </r>
    <r>
      <rPr>
        <sz val="10"/>
        <color rgb="FF212121"/>
        <rFont val="Arial"/>
        <family val="2"/>
      </rPr>
      <t xml:space="preserve"> 9.4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니치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시장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양강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구도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</si>
  <si>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용기세척제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텀블러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150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점유율</t>
    </r>
    <r>
      <rPr>
        <b/>
        <sz val="12"/>
        <color rgb="FF1E2761"/>
        <rFont val="Arial Black"/>
        <family val="2"/>
      </rPr>
      <t xml:space="preserve"> 4.71%</t>
    </r>
    <phoneticPr fontId="18" type="noConversion"/>
  </si>
  <si>
    <r>
      <rPr>
        <b/>
        <sz val="9"/>
        <color rgb="FFFFFFFF"/>
        <rFont val="돋움"/>
        <family val="3"/>
        <charset val="129"/>
      </rPr>
      <t>터블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돋움"/>
        <family val="3"/>
        <charset val="129"/>
      </rPr>
      <t>대비</t>
    </r>
    <phoneticPr fontId="18" type="noConversion"/>
  </si>
  <si>
    <r>
      <rPr>
        <b/>
        <sz val="9"/>
        <color rgb="FFC0392B"/>
        <rFont val="돋움"/>
        <family val="3"/>
        <charset val="129"/>
      </rPr>
      <t>터블이</t>
    </r>
    <r>
      <rPr>
        <b/>
        <sz val="9"/>
        <color rgb="FFC0392B"/>
        <rFont val="Arial Black"/>
        <family val="2"/>
      </rPr>
      <t xml:space="preserve"> 2.5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큼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★</t>
    </r>
    <phoneticPr fontId="18" type="noConversion"/>
  </si>
  <si>
    <r>
      <rPr>
        <b/>
        <sz val="9"/>
        <color rgb="FFC0392B"/>
        <rFont val="돋움"/>
        <family val="3"/>
        <charset val="129"/>
      </rPr>
      <t>터블이</t>
    </r>
    <r>
      <rPr>
        <b/>
        <sz val="9"/>
        <color rgb="FFC0392B"/>
        <rFont val="Arial Black"/>
        <family val="2"/>
      </rPr>
      <t xml:space="preserve"> 5.4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큼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★</t>
    </r>
    <phoneticPr fontId="18" type="noConversion"/>
  </si>
  <si>
    <r>
      <rPr>
        <b/>
        <sz val="9"/>
        <color rgb="FFC0392B"/>
        <rFont val="돋움"/>
        <family val="3"/>
        <charset val="129"/>
      </rPr>
      <t>터블이</t>
    </r>
    <r>
      <rPr>
        <b/>
        <sz val="9"/>
        <color rgb="FFC0392B"/>
        <rFont val="Arial Black"/>
        <family val="2"/>
      </rPr>
      <t xml:space="preserve"> 3.7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큼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★</t>
    </r>
    <phoneticPr fontId="18" type="noConversion"/>
  </si>
  <si>
    <r>
      <rPr>
        <b/>
        <sz val="9"/>
        <color rgb="FFC0392B"/>
        <rFont val="돋움"/>
        <family val="3"/>
        <charset val="129"/>
      </rPr>
      <t>터블이</t>
    </r>
    <r>
      <rPr>
        <b/>
        <sz val="9"/>
        <color rgb="FFC0392B"/>
        <rFont val="Arial Black"/>
        <family val="2"/>
      </rPr>
      <t xml:space="preserve"> 19.1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큼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★</t>
    </r>
    <phoneticPr fontId="18" type="noConversion"/>
  </si>
  <si>
    <r>
      <rPr>
        <b/>
        <sz val="9"/>
        <color rgb="FFC0392B"/>
        <rFont val="돋움"/>
        <family val="3"/>
        <charset val="129"/>
      </rPr>
      <t>터블이</t>
    </r>
    <r>
      <rPr>
        <b/>
        <sz val="9"/>
        <color rgb="FFC0392B"/>
        <rFont val="Arial Black"/>
        <family val="2"/>
      </rPr>
      <t xml:space="preserve"> 37.2</t>
    </r>
    <r>
      <rPr>
        <b/>
        <sz val="9"/>
        <color rgb="FFC0392B"/>
        <rFont val="돋움"/>
        <family val="3"/>
        <charset val="129"/>
      </rPr>
      <t>배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큼</t>
    </r>
    <r>
      <rPr>
        <b/>
        <sz val="9"/>
        <color rgb="FFC0392B"/>
        <rFont val="Arial Black"/>
        <family val="2"/>
      </rPr>
      <t xml:space="preserve"> </t>
    </r>
    <r>
      <rPr>
        <b/>
        <sz val="9"/>
        <color rgb="FFC0392B"/>
        <rFont val="돋움"/>
        <family val="3"/>
        <charset val="129"/>
      </rPr>
      <t>★</t>
    </r>
    <phoneticPr fontId="18" type="noConversion"/>
  </si>
  <si>
    <r>
      <rPr>
        <sz val="10"/>
        <color rgb="FF212121"/>
        <rFont val="돋움"/>
        <family val="3"/>
        <charset val="129"/>
      </rPr>
      <t>★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텀블러세정제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판매중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Arial"/>
        <family val="2"/>
      </rPr>
      <t xml:space="preserve">/ ERP </t>
    </r>
    <r>
      <rPr>
        <sz val="10"/>
        <color rgb="FF212121"/>
        <rFont val="돋움"/>
        <family val="3"/>
        <charset val="129"/>
      </rPr>
      <t>매출</t>
    </r>
    <r>
      <rPr>
        <sz val="10"/>
        <color rgb="FF212121"/>
        <rFont val="Arial"/>
        <family val="2"/>
      </rPr>
      <t xml:space="preserve"> 7.07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/ 1</t>
    </r>
    <r>
      <rPr>
        <sz val="10"/>
        <color rgb="FF212121"/>
        <rFont val="돋움"/>
        <family val="3"/>
        <charset val="129"/>
      </rPr>
      <t>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라이프홀릭</t>
    </r>
    <r>
      <rPr>
        <sz val="10"/>
        <color rgb="FF212121"/>
        <rFont val="Arial"/>
        <family val="2"/>
      </rPr>
      <t xml:space="preserve"> 2.84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대비</t>
    </r>
    <r>
      <rPr>
        <sz val="10"/>
        <color rgb="FF212121"/>
        <rFont val="Arial"/>
        <family val="2"/>
      </rPr>
      <t xml:space="preserve"> TUBBLE</t>
    </r>
    <r>
      <rPr>
        <sz val="10"/>
        <color rgb="FF212121"/>
        <rFont val="돋움"/>
        <family val="3"/>
        <charset val="129"/>
      </rPr>
      <t>이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약</t>
    </r>
    <r>
      <rPr>
        <sz val="10"/>
        <color rgb="FF212121"/>
        <rFont val="Arial"/>
        <family val="2"/>
      </rPr>
      <t xml:space="preserve"> 2.5</t>
    </r>
    <r>
      <rPr>
        <sz val="10"/>
        <color rgb="FF212121"/>
        <rFont val="돋움"/>
        <family val="3"/>
        <charset val="129"/>
      </rPr>
      <t>배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큼</t>
    </r>
    <phoneticPr fontId="18" type="noConversion"/>
  </si>
  <si>
    <r>
      <rPr>
        <sz val="10"/>
        <color rgb="FF212121"/>
        <rFont val="돋움"/>
        <family val="3"/>
        <charset val="129"/>
      </rPr>
      <t>★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7.07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 &gt; </t>
    </r>
    <r>
      <rPr>
        <sz val="10"/>
        <color rgb="FF212121"/>
        <rFont val="돋움"/>
        <family val="3"/>
        <charset val="129"/>
      </rPr>
      <t>쿠팡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전체</t>
    </r>
    <r>
      <rPr>
        <sz val="10"/>
        <color rgb="FF212121"/>
        <rFont val="Arial"/>
        <family val="2"/>
      </rPr>
      <t xml:space="preserve"> Top5 </t>
    </r>
    <r>
      <rPr>
        <sz val="10"/>
        <color rgb="FF212121"/>
        <rFont val="돋움"/>
        <family val="3"/>
        <charset val="129"/>
      </rPr>
      <t>합</t>
    </r>
    <r>
      <rPr>
        <sz val="10"/>
        <color rgb="FF212121"/>
        <rFont val="Arial"/>
        <family val="2"/>
      </rPr>
      <t>(</t>
    </r>
    <r>
      <rPr>
        <sz val="10"/>
        <color rgb="FF212121"/>
        <rFont val="돋움"/>
        <family val="3"/>
        <charset val="129"/>
      </rPr>
      <t>약</t>
    </r>
    <r>
      <rPr>
        <sz val="10"/>
        <color rgb="FF212121"/>
        <rFont val="Arial"/>
        <family val="2"/>
      </rPr>
      <t xml:space="preserve"> 6.6</t>
    </r>
    <r>
      <rPr>
        <sz val="10"/>
        <color rgb="FF212121"/>
        <rFont val="돋움"/>
        <family val="3"/>
        <charset val="129"/>
      </rPr>
      <t>억</t>
    </r>
    <r>
      <rPr>
        <sz val="10"/>
        <color rgb="FF212121"/>
        <rFont val="Arial"/>
        <family val="2"/>
      </rPr>
      <t xml:space="preserve">) / </t>
    </r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카테고리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확실한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선도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</si>
  <si>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변기세정제</t>
    </r>
    <r>
      <rPr>
        <b/>
        <sz val="12"/>
        <color rgb="FF1E2761"/>
        <rFont val="Arial Black"/>
        <family val="2"/>
      </rPr>
      <t xml:space="preserve">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175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미진입</t>
    </r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</si>
  <si>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26 2H </t>
    </r>
    <r>
      <rPr>
        <sz val="10"/>
        <color rgb="FF212121"/>
        <rFont val="돋움"/>
        <family val="3"/>
        <charset val="129"/>
      </rPr>
      <t>신규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검토</t>
    </r>
    <r>
      <rPr>
        <sz val="10"/>
        <color rgb="FF212121"/>
        <rFont val="Arial"/>
        <family val="2"/>
      </rPr>
      <t xml:space="preserve"> (8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런칭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예정</t>
    </r>
    <r>
      <rPr>
        <sz val="10"/>
        <color rgb="FF212121"/>
        <rFont val="Arial"/>
        <family val="2"/>
      </rPr>
      <t xml:space="preserve">, </t>
    </r>
    <r>
      <rPr>
        <sz val="10"/>
        <color rgb="FF212121"/>
        <rFont val="돋움"/>
        <family val="3"/>
        <charset val="129"/>
      </rPr>
      <t>발포형태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클리너</t>
    </r>
    <r>
      <rPr>
        <sz val="10"/>
        <color rgb="FF212121"/>
        <rFont val="Arial"/>
        <family val="2"/>
      </rPr>
      <t>)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</si>
  <si>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다목적세정제</t>
    </r>
    <r>
      <rPr>
        <b/>
        <sz val="12"/>
        <color rgb="FF1E2761"/>
        <rFont val="Arial Black"/>
        <family val="2"/>
      </rPr>
      <t xml:space="preserve">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1,250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미진입</t>
    </r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</si>
  <si>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신규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검토</t>
    </r>
    <r>
      <rPr>
        <sz val="10"/>
        <color rgb="FF212121"/>
        <rFont val="Arial"/>
        <family val="2"/>
      </rPr>
      <t xml:space="preserve"> </t>
    </r>
    <phoneticPr fontId="18" type="noConversion"/>
  </si>
  <si>
    <r>
      <rPr>
        <b/>
        <sz val="12"/>
        <color rgb="FF1E2761"/>
        <rFont val="돋움"/>
        <family val="3"/>
        <charset val="129"/>
      </rPr>
      <t>■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공간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탈취제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겔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시장규모</t>
    </r>
    <r>
      <rPr>
        <b/>
        <sz val="12"/>
        <color rgb="FF1E2761"/>
        <rFont val="Arial Black"/>
        <family val="2"/>
      </rPr>
      <t xml:space="preserve"> 2,000</t>
    </r>
    <r>
      <rPr>
        <b/>
        <sz val="12"/>
        <color rgb="FF1E2761"/>
        <rFont val="돋움"/>
        <family val="3"/>
        <charset val="129"/>
      </rPr>
      <t>억</t>
    </r>
    <r>
      <rPr>
        <b/>
        <sz val="12"/>
        <color rgb="FF1E2761"/>
        <rFont val="Arial Black"/>
        <family val="2"/>
      </rPr>
      <t xml:space="preserve"> (</t>
    </r>
    <r>
      <rPr>
        <b/>
        <sz val="12"/>
        <color rgb="FF1E2761"/>
        <rFont val="돋움"/>
        <family val="3"/>
        <charset val="129"/>
      </rPr>
      <t>추정</t>
    </r>
    <r>
      <rPr>
        <b/>
        <sz val="12"/>
        <color rgb="FF1E2761"/>
        <rFont val="Arial Black"/>
        <family val="2"/>
      </rPr>
      <t xml:space="preserve">)  |  </t>
    </r>
    <r>
      <rPr>
        <b/>
        <sz val="12"/>
        <color rgb="FF1E2761"/>
        <rFont val="돋움"/>
        <family val="3"/>
        <charset val="129"/>
      </rPr>
      <t>터블</t>
    </r>
    <r>
      <rPr>
        <b/>
        <sz val="12"/>
        <color rgb="FF1E2761"/>
        <rFont val="Arial Black"/>
        <family val="2"/>
      </rPr>
      <t xml:space="preserve"> </t>
    </r>
    <r>
      <rPr>
        <b/>
        <sz val="12"/>
        <color rgb="FF1E2761"/>
        <rFont val="돋움"/>
        <family val="3"/>
        <charset val="129"/>
      </rPr>
      <t>판매중</t>
    </r>
    <phoneticPr fontId="18" type="noConversion"/>
  </si>
  <si>
    <r>
      <rPr>
        <sz val="10"/>
        <color rgb="FF212121"/>
        <rFont val="돋움"/>
        <family val="3"/>
        <charset val="129"/>
      </rPr>
      <t>터블</t>
    </r>
    <r>
      <rPr>
        <sz val="10"/>
        <color rgb="FF212121"/>
        <rFont val="Arial"/>
        <family val="2"/>
      </rPr>
      <t xml:space="preserve"> 25</t>
    </r>
    <r>
      <rPr>
        <sz val="10"/>
        <color rgb="FF212121"/>
        <rFont val="돋움"/>
        <family val="3"/>
        <charset val="129"/>
      </rPr>
      <t>년도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데이터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부족</t>
    </r>
    <r>
      <rPr>
        <sz val="10"/>
        <color rgb="FF212121"/>
        <rFont val="Arial"/>
        <family val="2"/>
      </rPr>
      <t xml:space="preserve"> </t>
    </r>
    <phoneticPr fontId="18" type="noConversion"/>
  </si>
  <si>
    <r>
      <rPr>
        <sz val="9"/>
        <color rgb="FF555555"/>
        <rFont val="돋움"/>
        <family val="3"/>
        <charset val="129"/>
      </rPr>
      <t>①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실측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산식</t>
    </r>
    <r>
      <rPr>
        <sz val="9"/>
        <color rgb="FF555555"/>
        <rFont val="Arial"/>
        <family val="2"/>
      </rPr>
      <t xml:space="preserve">: </t>
    </r>
    <r>
      <rPr>
        <sz val="9"/>
        <color rgb="FF555555"/>
        <rFont val="돋움"/>
        <family val="3"/>
        <charset val="129"/>
      </rPr>
      <t>월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판매수량</t>
    </r>
    <r>
      <rPr>
        <sz val="9"/>
        <color rgb="FF555555"/>
        <rFont val="Arial"/>
        <family val="2"/>
      </rPr>
      <t xml:space="preserve"> × 12</t>
    </r>
    <r>
      <rPr>
        <sz val="9"/>
        <color rgb="FF555555"/>
        <rFont val="돋움"/>
        <family val="3"/>
        <charset val="129"/>
      </rPr>
      <t>개월</t>
    </r>
    <r>
      <rPr>
        <sz val="9"/>
        <color rgb="FF555555"/>
        <rFont val="Arial"/>
        <family val="2"/>
      </rPr>
      <t xml:space="preserve"> × </t>
    </r>
    <r>
      <rPr>
        <sz val="9"/>
        <color rgb="FF555555"/>
        <rFont val="돋움"/>
        <family val="3"/>
        <charset val="129"/>
      </rPr>
      <t>판가</t>
    </r>
    <r>
      <rPr>
        <sz val="9"/>
        <color rgb="FF555555"/>
        <rFont val="Arial"/>
        <family val="2"/>
      </rPr>
      <t xml:space="preserve"> = </t>
    </r>
    <r>
      <rPr>
        <sz val="9"/>
        <color rgb="FF555555"/>
        <rFont val="돋움"/>
        <family val="3"/>
        <charset val="129"/>
      </rPr>
      <t>연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매출</t>
    </r>
    <r>
      <rPr>
        <sz val="9"/>
        <color rgb="FF555555"/>
        <rFont val="Arial"/>
        <family val="2"/>
      </rPr>
      <t xml:space="preserve"> (</t>
    </r>
    <r>
      <rPr>
        <sz val="9"/>
        <color rgb="FF555555"/>
        <rFont val="돋움"/>
        <family val="3"/>
        <charset val="129"/>
      </rPr>
      <t>신뢰도</t>
    </r>
    <r>
      <rPr>
        <sz val="9"/>
        <color rgb="FF555555"/>
        <rFont val="Arial"/>
        <family val="2"/>
      </rPr>
      <t xml:space="preserve"> B)</t>
    </r>
    <phoneticPr fontId="18" type="noConversion"/>
  </si>
  <si>
    <r>
      <rPr>
        <sz val="9"/>
        <color rgb="FF555555"/>
        <rFont val="돋움"/>
        <family val="3"/>
        <charset val="129"/>
      </rPr>
      <t>②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쿠팡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월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판매수량은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쿠팡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상품페이지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최근</t>
    </r>
    <r>
      <rPr>
        <sz val="9"/>
        <color rgb="FF555555"/>
        <rFont val="Arial"/>
        <family val="2"/>
      </rPr>
      <t xml:space="preserve"> 1</t>
    </r>
    <r>
      <rPr>
        <sz val="9"/>
        <color rgb="FF555555"/>
        <rFont val="돋움"/>
        <family val="3"/>
        <charset val="129"/>
      </rPr>
      <t>개월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판매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추정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돋움"/>
        <family val="3"/>
        <charset val="129"/>
      </rPr>
      <t>수치</t>
    </r>
    <phoneticPr fontId="18" type="noConversion"/>
  </si>
  <si>
    <r>
      <rPr>
        <b/>
        <sz val="22"/>
        <color rgb="FF1E2761"/>
        <rFont val="돋움"/>
        <family val="3"/>
        <charset val="129"/>
      </rPr>
      <t>터블</t>
    </r>
    <r>
      <rPr>
        <b/>
        <sz val="22"/>
        <color rgb="FF1E2761"/>
        <rFont val="Arial Black"/>
        <family val="2"/>
      </rPr>
      <t xml:space="preserve"> </t>
    </r>
    <r>
      <rPr>
        <b/>
        <sz val="22"/>
        <color rgb="FF1E2761"/>
        <rFont val="돋움"/>
        <family val="3"/>
        <charset val="129"/>
      </rPr>
      <t>전략</t>
    </r>
    <r>
      <rPr>
        <b/>
        <sz val="22"/>
        <color rgb="FF1E2761"/>
        <rFont val="Arial Black"/>
        <family val="2"/>
      </rPr>
      <t xml:space="preserve"> </t>
    </r>
    <r>
      <rPr>
        <b/>
        <sz val="22"/>
        <color rgb="FF1E2761"/>
        <rFont val="돋움"/>
        <family val="3"/>
        <charset val="129"/>
      </rPr>
      <t>로드맵</t>
    </r>
    <phoneticPr fontId="18" type="noConversion"/>
  </si>
  <si>
    <t>2. 국내 세제 시장 구조</t>
    <phoneticPr fontId="18" type="noConversion"/>
  </si>
  <si>
    <t>4. 10개 핵심 카테고리 경쟁분석</t>
    <phoneticPr fontId="18" type="noConversion"/>
  </si>
  <si>
    <t>5. 카테고리별 Top 5 경쟁사</t>
    <phoneticPr fontId="18" type="noConversion"/>
  </si>
  <si>
    <t>6. 터블 전략 로드맵</t>
    <phoneticPr fontId="18" type="noConversion"/>
  </si>
  <si>
    <t>7. 참고 및 주석</t>
    <phoneticPr fontId="18" type="noConversion"/>
  </si>
  <si>
    <r>
      <t xml:space="preserve">1. </t>
    </r>
    <r>
      <rPr>
        <b/>
        <sz val="13"/>
        <color rgb="FF1E2761"/>
        <rFont val="돋움"/>
        <family val="3"/>
        <charset val="129"/>
      </rPr>
      <t>카테고리별</t>
    </r>
    <r>
      <rPr>
        <b/>
        <sz val="13"/>
        <color rgb="FF1E2761"/>
        <rFont val="Arial Black"/>
        <family val="2"/>
      </rPr>
      <t xml:space="preserve"> </t>
    </r>
    <r>
      <rPr>
        <b/>
        <sz val="13"/>
        <color rgb="FF1E2761"/>
        <rFont val="돋움"/>
        <family val="3"/>
        <charset val="129"/>
      </rPr>
      <t>전략</t>
    </r>
    <r>
      <rPr>
        <b/>
        <sz val="13"/>
        <color rgb="FF1E2761"/>
        <rFont val="Arial Black"/>
        <family val="2"/>
      </rPr>
      <t xml:space="preserve"> </t>
    </r>
    <r>
      <rPr>
        <b/>
        <sz val="13"/>
        <color rgb="FF1E2761"/>
        <rFont val="돋움"/>
        <family val="3"/>
        <charset val="129"/>
      </rPr>
      <t/>
    </r>
    <phoneticPr fontId="18" type="noConversion"/>
  </si>
  <si>
    <r>
      <rPr>
        <sz val="9"/>
        <color rgb="FF212121"/>
        <rFont val="돋움"/>
        <family val="3"/>
        <charset val="129"/>
      </rPr>
      <t>카테고리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확실한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선도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쿠팡</t>
    </r>
    <r>
      <rPr>
        <sz val="9"/>
        <color rgb="FF212121"/>
        <rFont val="Arial"/>
        <family val="2"/>
      </rPr>
      <t xml:space="preserve"> 1</t>
    </r>
    <r>
      <rPr>
        <sz val="9"/>
        <color rgb="FF212121"/>
        <rFont val="돋움"/>
        <family val="3"/>
        <charset val="129"/>
      </rPr>
      <t>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라이프홀릭</t>
    </r>
    <r>
      <rPr>
        <sz val="9"/>
        <color rgb="FF212121"/>
        <rFont val="Arial"/>
        <family val="2"/>
      </rPr>
      <t xml:space="preserve"> 2.84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vs </t>
    </r>
    <r>
      <rPr>
        <sz val="9"/>
        <color rgb="FF212121"/>
        <rFont val="돋움"/>
        <family val="3"/>
        <charset val="129"/>
      </rPr>
      <t>터블</t>
    </r>
    <r>
      <rPr>
        <sz val="9"/>
        <color rgb="FF212121"/>
        <rFont val="Arial"/>
        <family val="2"/>
      </rPr>
      <t xml:space="preserve"> 7.07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= </t>
    </r>
    <r>
      <rPr>
        <sz val="9"/>
        <color rgb="FF212121"/>
        <rFont val="돋움"/>
        <family val="3"/>
        <charset val="129"/>
      </rPr>
      <t>터블이</t>
    </r>
    <r>
      <rPr>
        <sz val="9"/>
        <color rgb="FF212121"/>
        <rFont val="Arial"/>
        <family val="2"/>
      </rPr>
      <t xml:space="preserve"> 2.5</t>
    </r>
    <r>
      <rPr>
        <sz val="9"/>
        <color rgb="FF212121"/>
        <rFont val="돋움"/>
        <family val="3"/>
        <charset val="129"/>
      </rPr>
      <t>배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큼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니치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카테고리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선점</t>
    </r>
    <r>
      <rPr>
        <sz val="9"/>
        <color rgb="FF212121"/>
        <rFont val="Arial"/>
        <family val="2"/>
      </rPr>
      <t xml:space="preserve"> </t>
    </r>
    <phoneticPr fontId="18" type="noConversion"/>
  </si>
  <si>
    <r>
      <t xml:space="preserve"> </t>
    </r>
    <r>
      <rPr>
        <sz val="9"/>
        <color rgb="FF212121"/>
        <rFont val="돋움"/>
        <family val="3"/>
        <charset val="129"/>
      </rPr>
      <t>신규</t>
    </r>
    <r>
      <rPr>
        <sz val="9"/>
        <color rgb="FF212121"/>
        <rFont val="Arial"/>
        <family val="2"/>
      </rPr>
      <t xml:space="preserve">  SKU </t>
    </r>
    <r>
      <rPr>
        <sz val="9"/>
        <color rgb="FF212121"/>
        <rFont val="돋움"/>
        <family val="3"/>
        <charset val="129"/>
      </rPr>
      <t>추가</t>
    </r>
    <phoneticPr fontId="18" type="noConversion"/>
  </si>
  <si>
    <r>
      <rPr>
        <sz val="9"/>
        <color rgb="FF212121"/>
        <rFont val="돋움"/>
        <family val="3"/>
        <charset val="129"/>
      </rPr>
      <t>시장</t>
    </r>
    <r>
      <rPr>
        <sz val="9"/>
        <color rgb="FF212121"/>
        <rFont val="Arial"/>
        <family val="2"/>
      </rPr>
      <t xml:space="preserve"> 8,500</t>
    </r>
    <r>
      <rPr>
        <sz val="9"/>
        <color rgb="FF212121"/>
        <rFont val="돋움"/>
        <family val="3"/>
        <charset val="129"/>
      </rPr>
      <t>억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대형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실측</t>
    </r>
    <r>
      <rPr>
        <sz val="9"/>
        <color rgb="FF212121"/>
        <rFont val="Arial"/>
        <family val="2"/>
      </rPr>
      <t xml:space="preserve"> 1</t>
    </r>
    <r>
      <rPr>
        <sz val="9"/>
        <color rgb="FF212121"/>
        <rFont val="돋움"/>
        <family val="3"/>
        <charset val="129"/>
      </rPr>
      <t>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허글리</t>
    </r>
    <r>
      <rPr>
        <sz val="9"/>
        <color rgb="FF212121"/>
        <rFont val="Arial"/>
        <family val="2"/>
      </rPr>
      <t xml:space="preserve"> 5.2</t>
    </r>
    <r>
      <rPr>
        <sz val="9"/>
        <color rgb="FF212121"/>
        <rFont val="돋움"/>
        <family val="3"/>
        <charset val="129"/>
      </rPr>
      <t>배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부케가르니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급성장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터블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최대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매출</t>
    </r>
    <phoneticPr fontId="18" type="noConversion"/>
  </si>
  <si>
    <r>
      <t>1</t>
    </r>
    <r>
      <rPr>
        <sz val="9"/>
        <color rgb="FF212121"/>
        <rFont val="돋움"/>
        <family val="3"/>
        <charset val="129"/>
      </rPr>
      <t>챔버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신규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검토중</t>
    </r>
    <r>
      <rPr>
        <sz val="9"/>
        <color rgb="FF212121"/>
        <rFont val="Arial"/>
        <family val="2"/>
      </rPr>
      <t xml:space="preserve">  </t>
    </r>
    <phoneticPr fontId="18" type="noConversion"/>
  </si>
  <si>
    <r>
      <t>6</t>
    </r>
    <r>
      <rPr>
        <sz val="9"/>
        <color rgb="FF212121"/>
        <rFont val="돋움"/>
        <family val="3"/>
        <charset val="129"/>
      </rPr>
      <t>월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리뉴얼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완료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네이버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스웰데이</t>
    </r>
    <r>
      <rPr>
        <sz val="9"/>
        <color rgb="FF212121"/>
        <rFont val="Arial"/>
        <family val="2"/>
      </rPr>
      <t xml:space="preserve"> 7,623 vs </t>
    </r>
    <r>
      <rPr>
        <sz val="9"/>
        <color rgb="FF212121"/>
        <rFont val="돋움"/>
        <family val="3"/>
        <charset val="129"/>
      </rPr>
      <t>터블</t>
    </r>
    <r>
      <rPr>
        <sz val="9"/>
        <color rgb="FF212121"/>
        <rFont val="Arial"/>
        <family val="2"/>
      </rPr>
      <t xml:space="preserve"> 105 </t>
    </r>
    <r>
      <rPr>
        <sz val="9"/>
        <color rgb="FF212121"/>
        <rFont val="돋움"/>
        <family val="3"/>
        <charset val="129"/>
      </rPr>
      <t>격차</t>
    </r>
    <r>
      <rPr>
        <sz val="9"/>
        <color rgb="FF212121"/>
        <rFont val="Arial"/>
        <family val="2"/>
      </rPr>
      <t xml:space="preserve"> /</t>
    </r>
    <r>
      <rPr>
        <sz val="9"/>
        <color rgb="FF212121"/>
        <rFont val="돋움"/>
        <family val="3"/>
        <charset val="129"/>
      </rPr>
      <t>브랜드스토어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집중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공략</t>
    </r>
    <phoneticPr fontId="18" type="noConversion"/>
  </si>
  <si>
    <t>이염방지시트</t>
    <phoneticPr fontId="18" type="noConversion"/>
  </si>
  <si>
    <r>
      <rPr>
        <sz val="9"/>
        <color rgb="FF212121"/>
        <rFont val="돋움"/>
        <family val="3"/>
        <charset val="129"/>
      </rPr>
      <t>대형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브랜드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독점</t>
    </r>
    <r>
      <rPr>
        <sz val="9"/>
        <color rgb="FF212121"/>
        <rFont val="Arial"/>
        <family val="2"/>
      </rPr>
      <t xml:space="preserve"> 156</t>
    </r>
    <r>
      <rPr>
        <sz val="9"/>
        <color rgb="FF212121"/>
        <rFont val="돋움"/>
        <family val="3"/>
        <charset val="129"/>
      </rPr>
      <t>배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자연퐁</t>
    </r>
    <r>
      <rPr>
        <sz val="9"/>
        <color rgb="FF212121"/>
        <rFont val="Arial"/>
        <family val="2"/>
      </rPr>
      <t xml:space="preserve"> 42.7% / 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격차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해소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불가</t>
    </r>
    <phoneticPr fontId="18" type="noConversion"/>
  </si>
  <si>
    <r>
      <rPr>
        <sz val="9"/>
        <color rgb="FF212121"/>
        <rFont val="돋움"/>
        <family val="3"/>
        <charset val="129"/>
      </rPr>
      <t>시트</t>
    </r>
    <r>
      <rPr>
        <sz val="9"/>
        <color rgb="FF212121"/>
        <rFont val="Arial"/>
        <family val="2"/>
      </rPr>
      <t>+</t>
    </r>
    <r>
      <rPr>
        <sz val="9"/>
        <color rgb="FF212121"/>
        <rFont val="돋움"/>
        <family val="3"/>
        <charset val="129"/>
      </rPr>
      <t>이염방지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차별화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전력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리뉴얼</t>
    </r>
    <r>
      <rPr>
        <sz val="9"/>
        <color rgb="FF212121"/>
        <rFont val="Arial"/>
        <family val="2"/>
      </rPr>
      <t xml:space="preserve"> SKU </t>
    </r>
    <r>
      <rPr>
        <sz val="9"/>
        <color rgb="FF212121"/>
        <rFont val="돋움"/>
        <family val="3"/>
        <charset val="129"/>
      </rPr>
      <t>네이버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브랜드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섹션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강화</t>
    </r>
    <r>
      <rPr>
        <sz val="9"/>
        <color rgb="FF212121"/>
        <rFont val="Arial"/>
        <family val="2"/>
      </rPr>
      <t xml:space="preserve"> </t>
    </r>
    <phoneticPr fontId="18" type="noConversion"/>
  </si>
  <si>
    <r>
      <rPr>
        <sz val="9"/>
        <color rgb="FF212121"/>
        <rFont val="돋움"/>
        <family val="3"/>
        <charset val="129"/>
      </rPr>
      <t>차별화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전략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신규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투자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지양</t>
    </r>
    <phoneticPr fontId="18" type="noConversion"/>
  </si>
  <si>
    <r>
      <rPr>
        <sz val="9"/>
        <color rgb="FF212121"/>
        <rFont val="돋움"/>
        <family val="3"/>
        <charset val="129"/>
      </rPr>
      <t>프로쉬</t>
    </r>
    <r>
      <rPr>
        <sz val="9"/>
        <color rgb="FF212121"/>
        <rFont val="Arial"/>
        <family val="2"/>
      </rPr>
      <t>·</t>
    </r>
    <r>
      <rPr>
        <sz val="9"/>
        <color rgb="FF212121"/>
        <rFont val="돋움"/>
        <family val="3"/>
        <charset val="129"/>
      </rPr>
      <t>자연퐁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양강</t>
    </r>
    <r>
      <rPr>
        <sz val="9"/>
        <color rgb="FF212121"/>
        <rFont val="Arial"/>
        <family val="2"/>
      </rPr>
      <t xml:space="preserve"> 35.2% </t>
    </r>
    <phoneticPr fontId="18" type="noConversion"/>
  </si>
  <si>
    <r>
      <rPr>
        <sz val="9"/>
        <color rgb="FF212121"/>
        <rFont val="돋움"/>
        <family val="3"/>
        <charset val="129"/>
      </rPr>
      <t>현</t>
    </r>
    <r>
      <rPr>
        <sz val="9"/>
        <color rgb="FF212121"/>
        <rFont val="Arial"/>
        <family val="2"/>
      </rPr>
      <t xml:space="preserve"> SKU </t>
    </r>
    <r>
      <rPr>
        <sz val="9"/>
        <color rgb="FF212121"/>
        <rFont val="돋움"/>
        <family val="3"/>
        <charset val="129"/>
      </rPr>
      <t>유지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신규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투자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지양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차별화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검토</t>
    </r>
    <r>
      <rPr>
        <sz val="9"/>
        <color rgb="FF212121"/>
        <rFont val="Arial"/>
        <family val="2"/>
      </rPr>
      <t xml:space="preserve"> </t>
    </r>
    <phoneticPr fontId="18" type="noConversion"/>
  </si>
  <si>
    <t>세정티슈</t>
    <phoneticPr fontId="18" type="noConversion"/>
  </si>
  <si>
    <r>
      <rPr>
        <sz val="9"/>
        <color rgb="FF212121"/>
        <rFont val="돋움"/>
        <family val="3"/>
        <charset val="129"/>
      </rPr>
      <t>신규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검토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중</t>
    </r>
    <r>
      <rPr>
        <sz val="9"/>
        <color rgb="FF212121"/>
        <rFont val="Arial"/>
        <family val="2"/>
      </rPr>
      <t xml:space="preserve"> </t>
    </r>
    <phoneticPr fontId="18" type="noConversion"/>
  </si>
  <si>
    <r>
      <t>25</t>
    </r>
    <r>
      <rPr>
        <sz val="9"/>
        <color rgb="FF212121"/>
        <rFont val="돋움"/>
        <family val="3"/>
        <charset val="129"/>
      </rPr>
      <t>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데이터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부족</t>
    </r>
    <phoneticPr fontId="18" type="noConversion"/>
  </si>
  <si>
    <r>
      <rPr>
        <sz val="9"/>
        <color rgb="FF212121"/>
        <rFont val="돋움"/>
        <family val="3"/>
        <charset val="129"/>
      </rPr>
      <t>네이버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더티린넨</t>
    </r>
    <r>
      <rPr>
        <sz val="9"/>
        <color rgb="FF212121"/>
        <rFont val="Arial"/>
        <family val="2"/>
      </rPr>
      <t xml:space="preserve"> 61,702 </t>
    </r>
    <r>
      <rPr>
        <sz val="9"/>
        <color rgb="FF212121"/>
        <rFont val="돋움"/>
        <family val="3"/>
        <charset val="129"/>
      </rPr>
      <t>압도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쿠팡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네이처스</t>
    </r>
    <r>
      <rPr>
        <sz val="9"/>
        <color rgb="FF212121"/>
        <rFont val="Arial"/>
        <family val="2"/>
      </rPr>
      <t xml:space="preserve"> 14,059 / </t>
    </r>
    <r>
      <rPr>
        <sz val="9"/>
        <color rgb="FF212121"/>
        <rFont val="돋움"/>
        <family val="3"/>
        <charset val="129"/>
      </rPr>
      <t>페브리즈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공식</t>
    </r>
    <r>
      <rPr>
        <sz val="9"/>
        <color rgb="FF212121"/>
        <rFont val="Arial"/>
        <family val="2"/>
      </rPr>
      <t xml:space="preserve"> 40%+ </t>
    </r>
    <phoneticPr fontId="18" type="noConversion"/>
  </si>
  <si>
    <r>
      <t xml:space="preserve">2026 Q2 </t>
    </r>
    <r>
      <rPr>
        <sz val="9"/>
        <color rgb="FF212121"/>
        <rFont val="돋움"/>
        <family val="3"/>
        <charset val="129"/>
      </rPr>
      <t>시장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재평가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검토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현상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유지</t>
    </r>
    <r>
      <rPr>
        <sz val="9"/>
        <color rgb="FF212121"/>
        <rFont val="Arial"/>
        <family val="2"/>
      </rPr>
      <t xml:space="preserve"> </t>
    </r>
    <phoneticPr fontId="18" type="noConversion"/>
  </si>
  <si>
    <r>
      <rPr>
        <sz val="9"/>
        <color rgb="FF212121"/>
        <rFont val="돋움"/>
        <family val="3"/>
        <charset val="129"/>
      </rPr>
      <t>신규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런칭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검토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브랜드차별화</t>
    </r>
    <r>
      <rPr>
        <sz val="9"/>
        <color rgb="FF212121"/>
        <rFont val="Arial"/>
        <family val="2"/>
      </rPr>
      <t xml:space="preserve"> SKU / </t>
    </r>
    <r>
      <rPr>
        <sz val="9"/>
        <color rgb="FF212121"/>
        <rFont val="돋움"/>
        <family val="3"/>
        <charset val="129"/>
      </rPr>
      <t>초도</t>
    </r>
    <r>
      <rPr>
        <sz val="9"/>
        <color rgb="FF212121"/>
        <rFont val="Arial"/>
        <family val="2"/>
      </rPr>
      <t xml:space="preserve"> 500</t>
    </r>
    <r>
      <rPr>
        <sz val="9"/>
        <color rgb="FF212121"/>
        <rFont val="돋움"/>
        <family val="3"/>
        <charset val="129"/>
      </rPr>
      <t>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테스트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발주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가능</t>
    </r>
    <phoneticPr fontId="18" type="noConversion"/>
  </si>
  <si>
    <r>
      <rPr>
        <sz val="9"/>
        <color rgb="FF212121"/>
        <rFont val="돋움"/>
        <family val="3"/>
        <charset val="129"/>
      </rPr>
      <t>신규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런링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검토</t>
    </r>
    <r>
      <rPr>
        <sz val="9"/>
        <color rgb="FF212121"/>
        <rFont val="Arial"/>
        <family val="2"/>
      </rPr>
      <t xml:space="preserve"> / </t>
    </r>
    <r>
      <rPr>
        <sz val="9"/>
        <color rgb="FF212121"/>
        <rFont val="돋움"/>
        <family val="3"/>
        <charset val="129"/>
      </rPr>
      <t>크로스셀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타겟</t>
    </r>
    <r>
      <rPr>
        <sz val="9"/>
        <color rgb="FF212121"/>
        <rFont val="Arial"/>
        <family val="2"/>
      </rPr>
      <t xml:space="preserve"> SKU </t>
    </r>
    <phoneticPr fontId="18" type="noConversion"/>
  </si>
  <si>
    <r>
      <rPr>
        <sz val="9"/>
        <color rgb="FF212121"/>
        <rFont val="돋움"/>
        <family val="3"/>
        <charset val="129"/>
      </rPr>
      <t>신규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런칭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검토</t>
    </r>
    <r>
      <rPr>
        <sz val="9"/>
        <color rgb="FF212121"/>
        <rFont val="Arial"/>
        <family val="2"/>
      </rPr>
      <t xml:space="preserve"> (</t>
    </r>
    <r>
      <rPr>
        <sz val="9"/>
        <color rgb="FF212121"/>
        <rFont val="돋움"/>
        <family val="3"/>
        <charset val="129"/>
      </rPr>
      <t>커피</t>
    </r>
    <r>
      <rPr>
        <sz val="9"/>
        <color rgb="FF212121"/>
        <rFont val="Arial"/>
        <family val="2"/>
      </rPr>
      <t>·</t>
    </r>
    <r>
      <rPr>
        <sz val="9"/>
        <color rgb="FF212121"/>
        <rFont val="돋움"/>
        <family val="3"/>
        <charset val="129"/>
      </rPr>
      <t>단백질</t>
    </r>
    <r>
      <rPr>
        <sz val="9"/>
        <color rgb="FF212121"/>
        <rFont val="Arial"/>
        <family val="2"/>
      </rPr>
      <t>·</t>
    </r>
    <r>
      <rPr>
        <sz val="9"/>
        <color rgb="FF212121"/>
        <rFont val="돋움"/>
        <family val="3"/>
        <charset val="129"/>
      </rPr>
      <t>메이크업</t>
    </r>
    <r>
      <rPr>
        <sz val="9"/>
        <color rgb="FF212121"/>
        <rFont val="Arial"/>
        <family val="2"/>
      </rPr>
      <t>·</t>
    </r>
    <r>
      <rPr>
        <sz val="9"/>
        <color rgb="FF212121"/>
        <rFont val="돋움"/>
        <family val="3"/>
        <charset val="129"/>
      </rPr>
      <t>유지</t>
    </r>
    <r>
      <rPr>
        <sz val="9"/>
        <color rgb="FF212121"/>
        <rFont val="Arial"/>
        <family val="2"/>
      </rPr>
      <t>·</t>
    </r>
    <r>
      <rPr>
        <sz val="9"/>
        <color rgb="FF212121"/>
        <rFont val="돋움"/>
        <family val="3"/>
        <charset val="129"/>
      </rPr>
      <t>만능</t>
    </r>
    <r>
      <rPr>
        <sz val="9"/>
        <color rgb="FF212121"/>
        <rFont val="Arial"/>
        <family val="2"/>
      </rPr>
      <t xml:space="preserve">) / </t>
    </r>
    <r>
      <rPr>
        <sz val="9"/>
        <color rgb="FF212121"/>
        <rFont val="돋움"/>
        <family val="3"/>
        <charset val="129"/>
      </rPr>
      <t>타겟별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차별화</t>
    </r>
    <r>
      <rPr>
        <sz val="9"/>
        <color rgb="FF212121"/>
        <rFont val="Arial"/>
        <family val="2"/>
      </rPr>
      <t xml:space="preserve"> </t>
    </r>
    <phoneticPr fontId="18" type="noConversion"/>
  </si>
  <si>
    <r>
      <t xml:space="preserve">2. </t>
    </r>
    <r>
      <rPr>
        <b/>
        <sz val="13"/>
        <color rgb="FF1E2761"/>
        <rFont val="돋움"/>
        <family val="3"/>
        <charset val="129"/>
      </rPr>
      <t>터블</t>
    </r>
    <r>
      <rPr>
        <b/>
        <sz val="13"/>
        <color rgb="FF1E2761"/>
        <rFont val="Arial Black"/>
        <family val="2"/>
      </rPr>
      <t xml:space="preserve"> </t>
    </r>
    <r>
      <rPr>
        <b/>
        <sz val="13"/>
        <color rgb="FF1E2761"/>
        <rFont val="돋움"/>
        <family val="3"/>
        <charset val="129"/>
      </rPr>
      <t>라인업</t>
    </r>
    <r>
      <rPr>
        <b/>
        <sz val="13"/>
        <color rgb="FF1E2761"/>
        <rFont val="Arial Black"/>
        <family val="2"/>
      </rPr>
      <t xml:space="preserve"> GAP </t>
    </r>
    <r>
      <rPr>
        <b/>
        <sz val="13"/>
        <color rgb="FF1E2761"/>
        <rFont val="돋움"/>
        <family val="3"/>
        <charset val="129"/>
      </rPr>
      <t>분석</t>
    </r>
    <r>
      <rPr>
        <b/>
        <sz val="13"/>
        <color rgb="FF1E2761"/>
        <rFont val="Arial Black"/>
        <family val="2"/>
      </rPr>
      <t xml:space="preserve"> (</t>
    </r>
    <r>
      <rPr>
        <b/>
        <sz val="13"/>
        <color rgb="FF1E2761"/>
        <rFont val="돋움"/>
        <family val="3"/>
        <charset val="129"/>
      </rPr>
      <t>대분류별</t>
    </r>
    <r>
      <rPr>
        <b/>
        <sz val="13"/>
        <color rgb="FF1E2761"/>
        <rFont val="Arial Black"/>
        <family val="2"/>
      </rPr>
      <t xml:space="preserve"> </t>
    </r>
    <r>
      <rPr>
        <b/>
        <sz val="13"/>
        <color rgb="FF1E2761"/>
        <rFont val="돋움"/>
        <family val="3"/>
        <charset val="129"/>
      </rPr>
      <t>확장</t>
    </r>
    <r>
      <rPr>
        <b/>
        <sz val="13"/>
        <color rgb="FF1E2761"/>
        <rFont val="Arial Black"/>
        <family val="2"/>
      </rPr>
      <t xml:space="preserve"> </t>
    </r>
    <r>
      <rPr>
        <b/>
        <sz val="13"/>
        <color rgb="FF1E2761"/>
        <rFont val="돋움"/>
        <family val="3"/>
        <charset val="129"/>
      </rPr>
      <t>여지</t>
    </r>
    <r>
      <rPr>
        <b/>
        <sz val="13"/>
        <color rgb="FF1E2761"/>
        <rFont val="Arial Black"/>
        <family val="2"/>
      </rPr>
      <t>)</t>
    </r>
    <phoneticPr fontId="18" type="noConversion"/>
  </si>
  <si>
    <r>
      <rPr>
        <b/>
        <sz val="10"/>
        <color rgb="FFFFFFFF"/>
        <rFont val="돋움"/>
        <family val="3"/>
        <charset val="129"/>
      </rPr>
      <t>터블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돋움"/>
        <family val="3"/>
        <charset val="129"/>
      </rPr>
      <t>현</t>
    </r>
    <r>
      <rPr>
        <b/>
        <sz val="10"/>
        <color rgb="FFFFFFFF"/>
        <rFont val="Arial"/>
        <family val="2"/>
      </rPr>
      <t xml:space="preserve"> SKU</t>
    </r>
    <phoneticPr fontId="18" type="noConversion"/>
  </si>
  <si>
    <r>
      <t xml:space="preserve">C. </t>
    </r>
    <r>
      <rPr>
        <b/>
        <sz val="11"/>
        <color rgb="FF212121"/>
        <rFont val="돋움"/>
        <family val="3"/>
        <charset val="129"/>
      </rPr>
      <t>욕실케어</t>
    </r>
    <phoneticPr fontId="18" type="noConversion"/>
  </si>
  <si>
    <t xml:space="preserve">1 SKU </t>
    <phoneticPr fontId="18" type="noConversion"/>
  </si>
  <si>
    <t>1 SKU</t>
    <phoneticPr fontId="18" type="noConversion"/>
  </si>
  <si>
    <r>
      <rPr>
        <sz val="10"/>
        <color rgb="FF212121"/>
        <rFont val="돋움"/>
        <family val="3"/>
        <charset val="129"/>
      </rPr>
      <t>캡슐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시트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세탁조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이염방지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보유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얼룩제거제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드라이시트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신규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진입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풀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커버리지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확보</t>
    </r>
    <phoneticPr fontId="18" type="noConversion"/>
  </si>
  <si>
    <r>
      <rPr>
        <sz val="10"/>
        <color rgb="FF212121"/>
        <rFont val="돋움"/>
        <family val="3"/>
        <charset val="129"/>
      </rPr>
      <t>텀블러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식세기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주방세제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보유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텀블러세정제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선도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주방세제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현상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유지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필요</t>
    </r>
    <r>
      <rPr>
        <sz val="10"/>
        <color rgb="FF212121"/>
        <rFont val="Arial"/>
        <family val="2"/>
      </rPr>
      <t xml:space="preserve"> </t>
    </r>
    <phoneticPr fontId="18" type="noConversion"/>
  </si>
  <si>
    <r>
      <rPr>
        <sz val="10"/>
        <color rgb="FF212121"/>
        <rFont val="돋움"/>
        <family val="3"/>
        <charset val="129"/>
      </rPr>
      <t>변기세정제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신규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런칭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카테고리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시너지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가능</t>
    </r>
    <phoneticPr fontId="18" type="noConversion"/>
  </si>
  <si>
    <r>
      <rPr>
        <sz val="10"/>
        <color rgb="FF212121"/>
        <rFont val="돋움"/>
        <family val="3"/>
        <charset val="129"/>
      </rPr>
      <t>세정티슈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보유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바닥세정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유리세정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가전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클리너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미진입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경쟁사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대비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절반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수준</t>
    </r>
    <phoneticPr fontId="18" type="noConversion"/>
  </si>
  <si>
    <r>
      <rPr>
        <sz val="10"/>
        <color rgb="FF212121"/>
        <rFont val="돋움"/>
        <family val="3"/>
        <charset val="129"/>
      </rPr>
      <t>탈취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니즈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강세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스프레이타입</t>
    </r>
    <r>
      <rPr>
        <sz val="10"/>
        <color rgb="FF212121"/>
        <rFont val="Arial"/>
        <family val="2"/>
      </rPr>
      <t xml:space="preserve">, </t>
    </r>
    <r>
      <rPr>
        <sz val="10"/>
        <color rgb="FF212121"/>
        <rFont val="돋움"/>
        <family val="3"/>
        <charset val="129"/>
      </rPr>
      <t>겔타입</t>
    </r>
    <r>
      <rPr>
        <sz val="10"/>
        <color rgb="FF212121"/>
        <rFont val="Arial"/>
        <family val="2"/>
      </rPr>
      <t xml:space="preserve">, </t>
    </r>
    <r>
      <rPr>
        <sz val="10"/>
        <color rgb="FF212121"/>
        <rFont val="돋움"/>
        <family val="3"/>
        <charset val="129"/>
      </rPr>
      <t>향타입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확장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카테고리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시너지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가능</t>
    </r>
    <phoneticPr fontId="18" type="noConversion"/>
  </si>
  <si>
    <r>
      <rPr>
        <sz val="10"/>
        <color rgb="FF212121"/>
        <rFont val="돋움"/>
        <family val="3"/>
        <charset val="129"/>
      </rPr>
      <t>텀블러세정제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추가</t>
    </r>
    <r>
      <rPr>
        <sz val="10"/>
        <color rgb="FF212121"/>
        <rFont val="Arial"/>
        <family val="2"/>
      </rPr>
      <t xml:space="preserve">SKU / </t>
    </r>
    <r>
      <rPr>
        <sz val="10"/>
        <color rgb="FF212121"/>
        <rFont val="돋움"/>
        <family val="3"/>
        <charset val="129"/>
      </rPr>
      <t>캡슐세제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정리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시트세제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리뉴얼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유지</t>
    </r>
    <phoneticPr fontId="18" type="noConversion"/>
  </si>
  <si>
    <r>
      <rPr>
        <b/>
        <sz val="10"/>
        <color rgb="FF1E2761"/>
        <rFont val="돋움"/>
        <family val="3"/>
        <charset val="129"/>
      </rPr>
      <t>라인업</t>
    </r>
    <r>
      <rPr>
        <b/>
        <sz val="10"/>
        <color rgb="FF1E2761"/>
        <rFont val="Arial"/>
        <family val="2"/>
      </rPr>
      <t xml:space="preserve"> </t>
    </r>
    <r>
      <rPr>
        <b/>
        <sz val="10"/>
        <color rgb="FF1E2761"/>
        <rFont val="돋움"/>
        <family val="3"/>
        <charset val="129"/>
      </rPr>
      <t>재정비</t>
    </r>
    <phoneticPr fontId="18" type="noConversion"/>
  </si>
  <si>
    <r>
      <rPr>
        <b/>
        <sz val="10"/>
        <color rgb="FF1E2761"/>
        <rFont val="돋움"/>
        <family val="3"/>
        <charset val="129"/>
      </rPr>
      <t>카테고리</t>
    </r>
    <r>
      <rPr>
        <b/>
        <sz val="10"/>
        <color rgb="FF1E2761"/>
        <rFont val="Arial"/>
        <family val="2"/>
      </rPr>
      <t xml:space="preserve"> </t>
    </r>
    <r>
      <rPr>
        <b/>
        <sz val="10"/>
        <color rgb="FF1E2761"/>
        <rFont val="돋움"/>
        <family val="3"/>
        <charset val="129"/>
      </rPr>
      <t>풀라인업</t>
    </r>
    <r>
      <rPr>
        <b/>
        <sz val="10"/>
        <color rgb="FF1E2761"/>
        <rFont val="Arial"/>
        <family val="2"/>
      </rPr>
      <t xml:space="preserve"> </t>
    </r>
    <r>
      <rPr>
        <b/>
        <sz val="10"/>
        <color rgb="FF1E2761"/>
        <rFont val="돋움"/>
        <family val="3"/>
        <charset val="129"/>
      </rPr>
      <t>완성</t>
    </r>
    <r>
      <rPr>
        <b/>
        <sz val="10"/>
        <color rgb="FF1E2761"/>
        <rFont val="Arial"/>
        <family val="2"/>
      </rPr>
      <t xml:space="preserve"> </t>
    </r>
    <phoneticPr fontId="18" type="noConversion"/>
  </si>
  <si>
    <r>
      <rPr>
        <sz val="10"/>
        <color rgb="FF212121"/>
        <rFont val="돋움"/>
        <family val="3"/>
        <charset val="129"/>
      </rPr>
      <t>얼룩제거제</t>
    </r>
    <r>
      <rPr>
        <sz val="10"/>
        <color rgb="FF212121"/>
        <rFont val="Arial"/>
        <family val="2"/>
      </rPr>
      <t xml:space="preserve"> (9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) / </t>
    </r>
    <r>
      <rPr>
        <sz val="10"/>
        <color rgb="FF212121"/>
        <rFont val="돋움"/>
        <family val="3"/>
        <charset val="129"/>
      </rPr>
      <t>캡슐세제</t>
    </r>
    <r>
      <rPr>
        <sz val="10"/>
        <color rgb="FF212121"/>
        <rFont val="Arial"/>
        <family val="2"/>
      </rPr>
      <t xml:space="preserve"> (10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) / </t>
    </r>
    <r>
      <rPr>
        <sz val="10"/>
        <color rgb="FF212121"/>
        <rFont val="돋움"/>
        <family val="3"/>
        <charset val="129"/>
      </rPr>
      <t>변기세정제</t>
    </r>
    <r>
      <rPr>
        <sz val="10"/>
        <color rgb="FF212121"/>
        <rFont val="Arial"/>
        <family val="2"/>
      </rPr>
      <t xml:space="preserve"> (8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 xml:space="preserve">) / </t>
    </r>
    <r>
      <rPr>
        <sz val="10"/>
        <color rgb="FF212121"/>
        <rFont val="돋움"/>
        <family val="3"/>
        <charset val="129"/>
      </rPr>
      <t>드라이시트</t>
    </r>
    <r>
      <rPr>
        <sz val="10"/>
        <color rgb="FF212121"/>
        <rFont val="Arial"/>
        <family val="2"/>
      </rPr>
      <t>(11</t>
    </r>
    <r>
      <rPr>
        <sz val="10"/>
        <color rgb="FF212121"/>
        <rFont val="돋움"/>
        <family val="3"/>
        <charset val="129"/>
      </rPr>
      <t>월</t>
    </r>
    <r>
      <rPr>
        <sz val="10"/>
        <color rgb="FF212121"/>
        <rFont val="Arial"/>
        <family val="2"/>
      </rPr>
      <t>)</t>
    </r>
    <phoneticPr fontId="18" type="noConversion"/>
  </si>
  <si>
    <r>
      <rPr>
        <sz val="10"/>
        <color rgb="FF212121"/>
        <rFont val="돋움"/>
        <family val="3"/>
        <charset val="129"/>
      </rPr>
      <t>홈케어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영역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확장</t>
    </r>
    <r>
      <rPr>
        <sz val="10"/>
        <color rgb="FF212121"/>
        <rFont val="Arial"/>
        <family val="2"/>
      </rPr>
      <t xml:space="preserve"> (</t>
    </r>
    <r>
      <rPr>
        <sz val="10"/>
        <color rgb="FF212121"/>
        <rFont val="돋움"/>
        <family val="3"/>
        <charset val="129"/>
      </rPr>
      <t>바닥</t>
    </r>
    <r>
      <rPr>
        <sz val="10"/>
        <color rgb="FF212121"/>
        <rFont val="Arial"/>
        <family val="2"/>
      </rPr>
      <t>·</t>
    </r>
    <r>
      <rPr>
        <sz val="10"/>
        <color rgb="FF212121"/>
        <rFont val="돋움"/>
        <family val="3"/>
        <charset val="129"/>
      </rPr>
      <t>유리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등</t>
    </r>
    <r>
      <rPr>
        <sz val="10"/>
        <color rgb="FF212121"/>
        <rFont val="Arial"/>
        <family val="2"/>
      </rPr>
      <t>)</t>
    </r>
    <phoneticPr fontId="18" type="noConversion"/>
  </si>
  <si>
    <r>
      <rPr>
        <b/>
        <sz val="10"/>
        <color rgb="FF1E2761"/>
        <rFont val="돋움"/>
        <family val="3"/>
        <charset val="129"/>
      </rPr>
      <t>홈케어</t>
    </r>
    <r>
      <rPr>
        <b/>
        <sz val="10"/>
        <color rgb="FF1E2761"/>
        <rFont val="Arial"/>
        <family val="2"/>
      </rPr>
      <t xml:space="preserve"> GAP </t>
    </r>
    <r>
      <rPr>
        <b/>
        <sz val="10"/>
        <color rgb="FF1E2761"/>
        <rFont val="돋움"/>
        <family val="3"/>
        <charset val="129"/>
      </rPr>
      <t>해소</t>
    </r>
    <phoneticPr fontId="18" type="noConversion"/>
  </si>
  <si>
    <r>
      <rPr>
        <b/>
        <sz val="11"/>
        <color rgb="FF212121"/>
        <rFont val="돋움"/>
        <family val="3"/>
        <charset val="129"/>
      </rPr>
      <t>탈취</t>
    </r>
    <r>
      <rPr>
        <b/>
        <sz val="11"/>
        <color rgb="FF212121"/>
        <rFont val="Arial"/>
        <family val="2"/>
      </rPr>
      <t>·</t>
    </r>
    <r>
      <rPr>
        <b/>
        <sz val="11"/>
        <color rgb="FF212121"/>
        <rFont val="돋움"/>
        <family val="3"/>
        <charset val="129"/>
      </rPr>
      <t>향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영역</t>
    </r>
    <r>
      <rPr>
        <b/>
        <sz val="11"/>
        <color rgb="FF212121"/>
        <rFont val="Arial"/>
        <family val="2"/>
      </rPr>
      <t xml:space="preserve"> </t>
    </r>
    <r>
      <rPr>
        <b/>
        <sz val="11"/>
        <color rgb="FF212121"/>
        <rFont val="돋움"/>
        <family val="3"/>
        <charset val="129"/>
      </rPr>
      <t>확장</t>
    </r>
    <phoneticPr fontId="18" type="noConversion"/>
  </si>
  <si>
    <r>
      <rPr>
        <sz val="10"/>
        <color rgb="FF212121"/>
        <rFont val="돋움"/>
        <family val="3"/>
        <charset val="129"/>
      </rPr>
      <t>섬유탈취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신규</t>
    </r>
    <r>
      <rPr>
        <sz val="10"/>
        <color rgb="FF212121"/>
        <rFont val="Arial"/>
        <family val="2"/>
      </rPr>
      <t xml:space="preserve"> / </t>
    </r>
    <r>
      <rPr>
        <sz val="10"/>
        <color rgb="FF212121"/>
        <rFont val="돋움"/>
        <family val="3"/>
        <charset val="129"/>
      </rPr>
      <t>홈퍼퓸</t>
    </r>
    <r>
      <rPr>
        <sz val="10"/>
        <color rgb="FF212121"/>
        <rFont val="Arial"/>
        <family val="2"/>
      </rPr>
      <t xml:space="preserve"> </t>
    </r>
    <r>
      <rPr>
        <sz val="10"/>
        <color rgb="FF212121"/>
        <rFont val="돋움"/>
        <family val="3"/>
        <charset val="129"/>
      </rPr>
      <t>확장</t>
    </r>
    <phoneticPr fontId="18" type="noConversion"/>
  </si>
  <si>
    <r>
      <rPr>
        <b/>
        <sz val="10"/>
        <color rgb="FF1E2761"/>
        <rFont val="돋움"/>
        <family val="3"/>
        <charset val="129"/>
      </rPr>
      <t>탈취</t>
    </r>
    <r>
      <rPr>
        <b/>
        <sz val="10"/>
        <color rgb="FF1E2761"/>
        <rFont val="Arial"/>
        <family val="2"/>
      </rPr>
      <t xml:space="preserve"> </t>
    </r>
    <r>
      <rPr>
        <b/>
        <sz val="10"/>
        <color rgb="FF1E2761"/>
        <rFont val="돋움"/>
        <family val="3"/>
        <charset val="129"/>
      </rPr>
      <t>영역</t>
    </r>
    <r>
      <rPr>
        <b/>
        <sz val="10"/>
        <color rgb="FF1E2761"/>
        <rFont val="Arial"/>
        <family val="2"/>
      </rPr>
      <t xml:space="preserve"> </t>
    </r>
    <r>
      <rPr>
        <b/>
        <sz val="10"/>
        <color rgb="FF1E2761"/>
        <rFont val="돋움"/>
        <family val="3"/>
        <charset val="129"/>
      </rPr>
      <t>니즈</t>
    </r>
    <r>
      <rPr>
        <b/>
        <sz val="10"/>
        <color rgb="FF1E2761"/>
        <rFont val="Arial"/>
        <family val="2"/>
      </rPr>
      <t xml:space="preserve"> </t>
    </r>
    <r>
      <rPr>
        <b/>
        <sz val="10"/>
        <color rgb="FF1E2761"/>
        <rFont val="돋움"/>
        <family val="3"/>
        <charset val="129"/>
      </rPr>
      <t>강세</t>
    </r>
    <r>
      <rPr>
        <b/>
        <sz val="10"/>
        <color rgb="FF1E2761"/>
        <rFont val="Arial"/>
        <family val="2"/>
      </rPr>
      <t xml:space="preserve"> </t>
    </r>
    <r>
      <rPr>
        <b/>
        <sz val="10"/>
        <color rgb="FF1E2761"/>
        <rFont val="돋움"/>
        <family val="3"/>
        <charset val="129"/>
      </rPr>
      <t>전략</t>
    </r>
    <r>
      <rPr>
        <b/>
        <sz val="10"/>
        <color rgb="FF1E2761"/>
        <rFont val="Arial"/>
        <family val="2"/>
      </rPr>
      <t xml:space="preserve"> </t>
    </r>
    <r>
      <rPr>
        <b/>
        <sz val="10"/>
        <color rgb="FF1E2761"/>
        <rFont val="돋움"/>
        <family val="3"/>
        <charset val="129"/>
      </rPr>
      <t>확장</t>
    </r>
    <phoneticPr fontId="18" type="noConversion"/>
  </si>
  <si>
    <r>
      <t xml:space="preserve">3. 2026-20287 </t>
    </r>
    <r>
      <rPr>
        <b/>
        <sz val="13"/>
        <color rgb="FF1E2761"/>
        <rFont val="돋움"/>
        <family val="3"/>
        <charset val="129"/>
      </rPr>
      <t>중장기</t>
    </r>
    <r>
      <rPr>
        <b/>
        <sz val="13"/>
        <color rgb="FF1E2761"/>
        <rFont val="Arial Black"/>
        <family val="2"/>
      </rPr>
      <t xml:space="preserve"> </t>
    </r>
    <r>
      <rPr>
        <b/>
        <sz val="13"/>
        <color rgb="FF1E2761"/>
        <rFont val="돋움"/>
        <family val="3"/>
        <charset val="129"/>
      </rPr>
      <t>로드맵</t>
    </r>
    <phoneticPr fontId="18" type="noConversion"/>
  </si>
  <si>
    <r>
      <t>6</t>
    </r>
    <r>
      <rPr>
        <sz val="9"/>
        <color rgb="FF212121"/>
        <rFont val="돋움"/>
        <family val="3"/>
        <charset val="129"/>
      </rPr>
      <t>위</t>
    </r>
    <phoneticPr fontId="18" type="noConversion"/>
  </si>
  <si>
    <r>
      <t>7</t>
    </r>
    <r>
      <rPr>
        <sz val="9"/>
        <color rgb="FF212121"/>
        <rFont val="돋움"/>
        <family val="3"/>
        <charset val="129"/>
      </rPr>
      <t>위</t>
    </r>
    <phoneticPr fontId="18" type="noConversion"/>
  </si>
  <si>
    <r>
      <t>8</t>
    </r>
    <r>
      <rPr>
        <sz val="9"/>
        <color rgb="FF212121"/>
        <rFont val="돋움"/>
        <family val="3"/>
        <charset val="129"/>
      </rPr>
      <t>위</t>
    </r>
    <phoneticPr fontId="18" type="noConversion"/>
  </si>
  <si>
    <r>
      <t>9</t>
    </r>
    <r>
      <rPr>
        <sz val="9"/>
        <color rgb="FF212121"/>
        <rFont val="돋움"/>
        <family val="3"/>
        <charset val="129"/>
      </rPr>
      <t>위</t>
    </r>
    <phoneticPr fontId="18" type="noConversion"/>
  </si>
  <si>
    <r>
      <t>10</t>
    </r>
    <r>
      <rPr>
        <sz val="9"/>
        <color rgb="FF212121"/>
        <rFont val="돋움"/>
        <family val="3"/>
        <charset val="129"/>
      </rPr>
      <t>위</t>
    </r>
    <phoneticPr fontId="18" type="noConversion"/>
  </si>
  <si>
    <t>카포드</t>
    <phoneticPr fontId="18" type="noConversion"/>
  </si>
  <si>
    <r>
      <rPr>
        <sz val="9"/>
        <color rgb="FF212121"/>
        <rFont val="돋움"/>
        <family val="3"/>
        <charset val="129"/>
      </rPr>
      <t>카포드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센트라린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듀얼코어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캡슐세제</t>
    </r>
    <r>
      <rPr>
        <sz val="9"/>
        <color rgb="FF212121"/>
        <rFont val="Arial"/>
        <family val="2"/>
      </rPr>
      <t xml:space="preserve"> 35</t>
    </r>
    <r>
      <rPr>
        <sz val="9"/>
        <color rgb="FF212121"/>
        <rFont val="돋움"/>
        <family val="3"/>
        <charset val="129"/>
      </rPr>
      <t>개입</t>
    </r>
    <r>
      <rPr>
        <sz val="9"/>
        <color rgb="FF212121"/>
        <rFont val="Arial"/>
        <family val="2"/>
      </rPr>
      <t xml:space="preserve"> 1</t>
    </r>
    <r>
      <rPr>
        <sz val="9"/>
        <color rgb="FF212121"/>
        <rFont val="돋움"/>
        <family val="3"/>
        <charset val="129"/>
      </rPr>
      <t>개</t>
    </r>
    <phoneticPr fontId="18" type="noConversion"/>
  </si>
  <si>
    <t>리퀴드</t>
    <phoneticPr fontId="18" type="noConversion"/>
  </si>
  <si>
    <r>
      <rPr>
        <sz val="9"/>
        <color rgb="FF212121"/>
        <rFont val="돋움"/>
        <family val="3"/>
        <charset val="129"/>
      </rPr>
      <t>캡슐세제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리퀴드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대용량</t>
    </r>
    <r>
      <rPr>
        <sz val="9"/>
        <color rgb="FF212121"/>
        <rFont val="Arial"/>
        <family val="2"/>
      </rPr>
      <t xml:space="preserve"> 120</t>
    </r>
    <r>
      <rPr>
        <sz val="9"/>
        <color rgb="FF212121"/>
        <rFont val="돋움"/>
        <family val="3"/>
        <charset val="129"/>
      </rPr>
      <t>개입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고농축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실내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건조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캡슐세탁세제</t>
    </r>
    <phoneticPr fontId="18" type="noConversion"/>
  </si>
  <si>
    <t>액츠</t>
    <phoneticPr fontId="18" type="noConversion"/>
  </si>
  <si>
    <r>
      <rPr>
        <sz val="9"/>
        <color rgb="FF212121"/>
        <rFont val="돋움"/>
        <family val="3"/>
        <charset val="129"/>
      </rPr>
      <t>액츠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멀티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솔루션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실내건조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컴팩트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캡슐세제</t>
    </r>
    <r>
      <rPr>
        <sz val="9"/>
        <color rgb="FF212121"/>
        <rFont val="Arial"/>
        <family val="2"/>
      </rPr>
      <t xml:space="preserve"> 50</t>
    </r>
    <r>
      <rPr>
        <sz val="9"/>
        <color rgb="FF212121"/>
        <rFont val="돋움"/>
        <family val="3"/>
        <charset val="129"/>
      </rPr>
      <t>개입</t>
    </r>
    <phoneticPr fontId="18" type="noConversion"/>
  </si>
  <si>
    <t>아이러브베베</t>
    <phoneticPr fontId="18" type="noConversion"/>
  </si>
  <si>
    <r>
      <rPr>
        <sz val="9"/>
        <color rgb="FF212121"/>
        <rFont val="돋움"/>
        <family val="3"/>
        <charset val="129"/>
      </rPr>
      <t>아이러브베베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딥큐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캡슐세제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샤르망부케향</t>
    </r>
    <r>
      <rPr>
        <sz val="9"/>
        <color rgb="FF212121"/>
        <rFont val="Arial"/>
        <family val="2"/>
      </rPr>
      <t xml:space="preserve"> 1KG 100</t>
    </r>
    <r>
      <rPr>
        <sz val="9"/>
        <color rgb="FF212121"/>
        <rFont val="돋움"/>
        <family val="3"/>
        <charset val="129"/>
      </rPr>
      <t>개입</t>
    </r>
    <r>
      <rPr>
        <sz val="9"/>
        <color rgb="FF212121"/>
        <rFont val="Arial"/>
        <family val="2"/>
      </rPr>
      <t xml:space="preserve"> </t>
    </r>
    <phoneticPr fontId="18" type="noConversion"/>
  </si>
  <si>
    <t>소소이지</t>
    <phoneticPr fontId="18" type="noConversion"/>
  </si>
  <si>
    <r>
      <rPr>
        <sz val="9"/>
        <color rgb="FF212121"/>
        <rFont val="돋움"/>
        <family val="3"/>
        <charset val="129"/>
      </rPr>
      <t>소소이지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캡슐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세제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미니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그러너리</t>
    </r>
    <r>
      <rPr>
        <sz val="9"/>
        <color rgb="FF212121"/>
        <rFont val="Arial"/>
        <family val="2"/>
      </rPr>
      <t xml:space="preserve"> </t>
    </r>
    <r>
      <rPr>
        <sz val="9"/>
        <color rgb="FF212121"/>
        <rFont val="돋움"/>
        <family val="3"/>
        <charset val="129"/>
      </rPr>
      <t>머스크</t>
    </r>
    <r>
      <rPr>
        <sz val="9"/>
        <color rgb="FF212121"/>
        <rFont val="Arial"/>
        <family val="2"/>
      </rPr>
      <t xml:space="preserve"> 50</t>
    </r>
    <r>
      <rPr>
        <sz val="9"/>
        <color rgb="FF212121"/>
        <rFont val="돋움"/>
        <family val="3"/>
        <charset val="129"/>
      </rPr>
      <t>개입</t>
    </r>
    <r>
      <rPr>
        <sz val="9"/>
        <color rgb="FF212121"/>
        <rFont val="Arial"/>
        <family val="2"/>
      </rPr>
      <t xml:space="preserve"> 2</t>
    </r>
    <r>
      <rPr>
        <sz val="9"/>
        <color rgb="FF212121"/>
        <rFont val="돋움"/>
        <family val="3"/>
        <charset val="129"/>
      </rPr>
      <t>개</t>
    </r>
    <phoneticPr fontId="18" type="noConversion"/>
  </si>
  <si>
    <t>챔버</t>
    <phoneticPr fontId="18" type="noConversion"/>
  </si>
  <si>
    <t>1챔버</t>
    <phoneticPr fontId="18" type="noConversion"/>
  </si>
  <si>
    <t>4챔버</t>
    <phoneticPr fontId="18" type="noConversion"/>
  </si>
  <si>
    <t>3챔버</t>
    <phoneticPr fontId="18" type="noConversion"/>
  </si>
  <si>
    <r>
      <t>7</t>
    </r>
    <r>
      <rPr>
        <sz val="9"/>
        <color rgb="FF212121"/>
        <rFont val="돋움"/>
        <family val="3"/>
        <charset val="129"/>
      </rPr>
      <t>위</t>
    </r>
    <phoneticPr fontId="18" type="noConversion"/>
  </si>
  <si>
    <r>
      <t>8위</t>
    </r>
    <r>
      <rPr>
        <sz val="9"/>
        <color rgb="FF212121"/>
        <rFont val="돋움"/>
        <family val="3"/>
        <charset val="129"/>
      </rPr>
      <t/>
    </r>
  </si>
  <si>
    <r>
      <t>9위</t>
    </r>
    <r>
      <rPr>
        <sz val="9"/>
        <color rgb="FF212121"/>
        <rFont val="돋움"/>
        <family val="3"/>
        <charset val="129"/>
      </rPr>
      <t/>
    </r>
  </si>
  <si>
    <r>
      <t>10위</t>
    </r>
    <r>
      <rPr>
        <sz val="9"/>
        <color rgb="FF212121"/>
        <rFont val="돋움"/>
        <family val="3"/>
        <charset val="129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</si>
</sst>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86" x14ac:knownFonts="1">
    <font>
      <sz val="11"/>
      <color theme="1"/>
      <name val="맑은 고딕"/>
      <family val="2"/>
      <scheme val="minor"/>
    </font>
    <font>
      <b/>
      <sz val="11"/>
      <color rgb="FF1E2761"/>
      <name val="Arial"/>
      <family val="2"/>
    </font>
    <font>
      <b/>
      <sz val="22"/>
      <color rgb="FF1E2761"/>
      <name val="Arial Black"/>
      <family val="2"/>
    </font>
    <font>
      <b/>
      <sz val="12"/>
      <color rgb="FF1E2761"/>
      <name val="Arial Black"/>
      <family val="2"/>
    </font>
    <font>
      <b/>
      <sz val="11"/>
      <color rgb="FF212121"/>
      <name val="Arial"/>
      <family val="2"/>
    </font>
    <font>
      <sz val="10"/>
      <color rgb="FF555555"/>
      <name val="Arial"/>
      <family val="2"/>
    </font>
    <font>
      <sz val="10"/>
      <color rgb="FF212121"/>
      <name val="Arial"/>
      <family val="2"/>
    </font>
    <font>
      <sz val="11"/>
      <color rgb="FF555555"/>
      <name val="Arial"/>
      <family val="2"/>
    </font>
    <font>
      <b/>
      <sz val="20"/>
      <color rgb="FF1E2761"/>
      <name val="Arial Black"/>
      <family val="2"/>
    </font>
    <font>
      <b/>
      <sz val="10"/>
      <color rgb="FFFFFFFF"/>
      <name val="Arial"/>
      <family val="2"/>
    </font>
    <font>
      <b/>
      <sz val="11"/>
      <color rgb="FF1E2761"/>
      <name val="Arial Black"/>
      <family val="2"/>
    </font>
    <font>
      <b/>
      <sz val="10"/>
      <color rgb="FF212121"/>
      <name val="Arial"/>
      <family val="2"/>
    </font>
    <font>
      <sz val="9"/>
      <color rgb="FF555555"/>
      <name val="Arial"/>
      <family val="2"/>
    </font>
    <font>
      <b/>
      <sz val="10"/>
      <color rgb="FF1E2761"/>
      <name val="Arial Black"/>
      <family val="2"/>
    </font>
    <font>
      <b/>
      <sz val="10"/>
      <name val="Arial"/>
      <family val="2"/>
    </font>
    <font>
      <b/>
      <sz val="10"/>
      <color rgb="FF1E2761"/>
      <name val="Arial"/>
      <family val="2"/>
    </font>
    <font>
      <b/>
      <sz val="10"/>
      <color rgb="FFC0392B"/>
      <name val="Arial"/>
      <family val="2"/>
    </font>
    <font>
      <b/>
      <sz val="13"/>
      <color rgb="FF1E2761"/>
      <name val="Arial Black"/>
      <family val="2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rgb="FF1E2761"/>
      <name val="맑은 고딕"/>
      <family val="3"/>
      <charset val="129"/>
      <scheme val="minor"/>
    </font>
    <font>
      <b/>
      <sz val="12"/>
      <color rgb="FF1E276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2"/>
      <color rgb="FF21212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color rgb="FF212121"/>
      <name val="맑은 고딕"/>
      <family val="3"/>
      <charset val="129"/>
      <scheme val="minor"/>
    </font>
    <font>
      <b/>
      <sz val="18"/>
      <color rgb="FF1E2761"/>
      <name val="맑은 고딕"/>
      <family val="3"/>
      <charset val="129"/>
      <scheme val="minor"/>
    </font>
    <font>
      <b/>
      <sz val="18"/>
      <color rgb="FFC0392B"/>
      <name val="맑은 고딕"/>
      <family val="3"/>
      <charset val="129"/>
      <scheme val="minor"/>
    </font>
    <font>
      <b/>
      <sz val="18"/>
      <color rgb="FF1B5E20"/>
      <name val="맑은 고딕"/>
      <family val="3"/>
      <charset val="129"/>
      <scheme val="minor"/>
    </font>
    <font>
      <sz val="9"/>
      <color rgb="FF555555"/>
      <name val="맑은 고딕"/>
      <family val="3"/>
      <charset val="129"/>
      <scheme val="minor"/>
    </font>
    <font>
      <sz val="10"/>
      <color rgb="FF555555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22"/>
      <color rgb="FF1E2761"/>
      <name val="맑은 고딕"/>
      <family val="3"/>
      <charset val="129"/>
      <scheme val="major"/>
    </font>
    <font>
      <sz val="11"/>
      <color rgb="FF555555"/>
      <name val="맑은 고딕"/>
      <family val="3"/>
      <charset val="129"/>
      <scheme val="major"/>
    </font>
    <font>
      <b/>
      <sz val="12"/>
      <color rgb="FF1E2761"/>
      <name val="맑은 고딕"/>
      <family val="3"/>
      <charset val="129"/>
      <scheme val="major"/>
    </font>
    <font>
      <b/>
      <sz val="11"/>
      <color rgb="FF212121"/>
      <name val="맑은 고딕"/>
      <family val="3"/>
      <charset val="129"/>
      <scheme val="major"/>
    </font>
    <font>
      <b/>
      <sz val="20"/>
      <color rgb="FF1E2761"/>
      <name val="맑은 고딕"/>
      <family val="3"/>
      <charset val="129"/>
      <scheme val="major"/>
    </font>
    <font>
      <sz val="10"/>
      <color rgb="FF555555"/>
      <name val="맑은 고딕"/>
      <family val="3"/>
      <charset val="129"/>
      <scheme val="major"/>
    </font>
    <font>
      <sz val="9"/>
      <color rgb="FF555555"/>
      <name val="맑은 고딕"/>
      <family val="3"/>
      <charset val="129"/>
      <scheme val="major"/>
    </font>
    <font>
      <b/>
      <sz val="10"/>
      <color rgb="FFFFFFFF"/>
      <name val="맑은 고딕"/>
      <family val="3"/>
      <charset val="129"/>
      <scheme val="major"/>
    </font>
    <font>
      <sz val="10"/>
      <color rgb="FF212121"/>
      <name val="맑은 고딕"/>
      <family val="3"/>
      <charset val="129"/>
      <scheme val="major"/>
    </font>
    <font>
      <b/>
      <sz val="11"/>
      <color rgb="FF1E2761"/>
      <name val="맑은 고딕"/>
      <family val="3"/>
      <charset val="129"/>
      <scheme val="major"/>
    </font>
    <font>
      <b/>
      <sz val="10"/>
      <color rgb="FF1E2761"/>
      <name val="맑은 고딕"/>
      <family val="3"/>
      <charset val="129"/>
      <scheme val="major"/>
    </font>
    <font>
      <b/>
      <sz val="14"/>
      <color rgb="FFC0392B"/>
      <name val="맑은 고딕"/>
      <family val="3"/>
      <charset val="129"/>
      <scheme val="major"/>
    </font>
    <font>
      <b/>
      <sz val="10"/>
      <color rgb="FFC0392B"/>
      <name val="맑은 고딕"/>
      <family val="3"/>
      <charset val="129"/>
      <scheme val="major"/>
    </font>
    <font>
      <b/>
      <sz val="13"/>
      <color rgb="FF1E276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3"/>
      <color rgb="FFC0392B"/>
      <name val="맑은 고딕"/>
      <family val="3"/>
      <charset val="129"/>
      <scheme val="major"/>
    </font>
    <font>
      <b/>
      <sz val="9"/>
      <color rgb="FF1E2761"/>
      <name val="맑은 고딕"/>
      <family val="3"/>
      <charset val="129"/>
      <scheme val="major"/>
    </font>
    <font>
      <sz val="9"/>
      <color rgb="FF212121"/>
      <name val="맑은 고딕"/>
      <family val="3"/>
      <charset val="129"/>
      <scheme val="major"/>
    </font>
    <font>
      <b/>
      <sz val="9"/>
      <color rgb="FF21212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rgb="FFFFFFFF"/>
      <name val="맑은 고딕"/>
      <family val="3"/>
      <charset val="129"/>
      <scheme val="major"/>
    </font>
    <font>
      <b/>
      <sz val="9"/>
      <color rgb="FFC0392B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color rgb="FF21212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22"/>
      <color rgb="FF1E2761"/>
      <name val="돋움"/>
      <family val="3"/>
      <charset val="129"/>
    </font>
    <font>
      <sz val="10"/>
      <color rgb="FF212121"/>
      <name val="돋움"/>
      <family val="3"/>
      <charset val="129"/>
    </font>
    <font>
      <b/>
      <sz val="11"/>
      <color rgb="FF212121"/>
      <name val="돋움"/>
      <family val="3"/>
      <charset val="129"/>
    </font>
    <font>
      <sz val="11"/>
      <color rgb="FF555555"/>
      <name val="돋움"/>
      <family val="3"/>
      <charset val="129"/>
    </font>
    <font>
      <b/>
      <sz val="12"/>
      <color rgb="FF1E2761"/>
      <name val="돋움"/>
      <family val="3"/>
      <charset val="129"/>
    </font>
    <font>
      <b/>
      <sz val="9"/>
      <color rgb="FFFFFFFF"/>
      <name val="Arial"/>
      <family val="2"/>
    </font>
    <font>
      <sz val="9"/>
      <color theme="1"/>
      <name val="맑은 고딕"/>
      <family val="2"/>
      <scheme val="minor"/>
    </font>
    <font>
      <b/>
      <sz val="9"/>
      <color rgb="FF212121"/>
      <name val="Arial"/>
      <family val="2"/>
    </font>
    <font>
      <sz val="9"/>
      <color rgb="FF212121"/>
      <name val="Arial"/>
      <family val="2"/>
    </font>
    <font>
      <b/>
      <sz val="9"/>
      <color rgb="FF1B5E20"/>
      <name val="Arial"/>
      <family val="2"/>
    </font>
    <font>
      <b/>
      <sz val="9"/>
      <color rgb="FF6A1B9A"/>
      <name val="Arial Black"/>
      <family val="2"/>
    </font>
    <font>
      <b/>
      <sz val="9"/>
      <color rgb="FF1E2761"/>
      <name val="Arial Black"/>
      <family val="2"/>
    </font>
    <font>
      <b/>
      <sz val="9"/>
      <color rgb="FFC0392B"/>
      <name val="Arial Black"/>
      <family val="2"/>
    </font>
    <font>
      <b/>
      <sz val="9"/>
      <name val="Arial"/>
      <family val="2"/>
    </font>
    <font>
      <b/>
      <sz val="9"/>
      <color rgb="FF6A1B9A"/>
      <name val="Arial"/>
      <family val="2"/>
    </font>
    <font>
      <b/>
      <sz val="9"/>
      <color rgb="FFC0392B"/>
      <name val="Arial"/>
      <family val="2"/>
    </font>
    <font>
      <b/>
      <sz val="9"/>
      <color rgb="FFFFFFFF"/>
      <name val="돋움"/>
      <family val="3"/>
      <charset val="129"/>
    </font>
    <font>
      <sz val="9"/>
      <color rgb="FF212121"/>
      <name val="돋움"/>
      <family val="3"/>
      <charset val="129"/>
    </font>
    <font>
      <b/>
      <sz val="9"/>
      <color rgb="FF212121"/>
      <name val="돋움"/>
      <family val="3"/>
      <charset val="129"/>
    </font>
    <font>
      <b/>
      <sz val="9"/>
      <color rgb="FFC0392B"/>
      <name val="돋움"/>
      <family val="3"/>
      <charset val="129"/>
    </font>
    <font>
      <sz val="9"/>
      <color rgb="FF555555"/>
      <name val="돋움"/>
      <family val="3"/>
      <charset val="129"/>
    </font>
    <font>
      <b/>
      <sz val="10"/>
      <color rgb="FF1E2761"/>
      <name val="돋움"/>
      <family val="3"/>
      <charset val="129"/>
    </font>
    <font>
      <b/>
      <sz val="10"/>
      <color rgb="FFFFFFFF"/>
      <name val="돋움"/>
      <family val="3"/>
      <charset val="129"/>
    </font>
    <font>
      <b/>
      <sz val="13"/>
      <color rgb="FF1E2761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3355FF"/>
      </patternFill>
    </fill>
    <fill>
      <patternFill patternType="solid">
        <fgColor rgb="FFFFFFFF"/>
      </patternFill>
    </fill>
    <fill>
      <patternFill patternType="solid">
        <fgColor rgb="FF1E2761"/>
      </patternFill>
    </fill>
    <fill>
      <patternFill patternType="solid">
        <fgColor rgb="FFD1ECF1"/>
      </patternFill>
    </fill>
    <fill>
      <patternFill patternType="solid">
        <fgColor rgb="FFE2D5F1"/>
      </patternFill>
    </fill>
    <fill>
      <patternFill patternType="solid">
        <fgColor rgb="FFFFE5B4"/>
      </patternFill>
    </fill>
    <fill>
      <patternFill patternType="solid">
        <fgColor rgb="FFD4EDDA"/>
      </patternFill>
    </fill>
    <fill>
      <patternFill patternType="solid">
        <fgColor rgb="FFDCE7FF"/>
      </patternFill>
    </fill>
    <fill>
      <patternFill patternType="solid">
        <fgColor rgb="FFFFE4B5"/>
      </patternFill>
    </fill>
    <fill>
      <patternFill patternType="solid">
        <fgColor rgb="FFFFF4CE"/>
      </patternFill>
    </fill>
    <fill>
      <patternFill patternType="solid">
        <fgColor rgb="FFF8D7DA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CE4EC"/>
      </patternFill>
    </fill>
    <fill>
      <patternFill patternType="solid">
        <fgColor rgb="FFC8E6C9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E1BEE7"/>
      </patternFill>
    </fill>
    <fill>
      <patternFill patternType="solid">
        <fgColor rgb="FFEAEAEA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rgb="FF1E2761"/>
      </left>
      <right style="medium">
        <color rgb="FF1E2761"/>
      </right>
      <top style="medium">
        <color rgb="FF1E2761"/>
      </top>
      <bottom style="medium">
        <color rgb="FF1E2761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/>
      <bottom style="thin">
        <color rgb="FF888888"/>
      </bottom>
      <diagonal/>
    </border>
    <border>
      <left/>
      <right style="thin">
        <color rgb="FF888888"/>
      </right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2" borderId="0" xfId="0" applyFill="1"/>
    <xf numFmtId="0" fontId="4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4" fillId="0" borderId="0" xfId="0" applyFont="1"/>
    <xf numFmtId="0" fontId="0" fillId="0" borderId="0" xfId="0"/>
    <xf numFmtId="0" fontId="0" fillId="24" borderId="0" xfId="0" applyFill="1"/>
    <xf numFmtId="0" fontId="21" fillId="2" borderId="0" xfId="0" applyFont="1" applyFill="1"/>
    <xf numFmtId="0" fontId="21" fillId="24" borderId="10" xfId="0" applyFont="1" applyFill="1" applyBorder="1" applyAlignment="1"/>
    <xf numFmtId="0" fontId="21" fillId="2" borderId="10" xfId="0" applyFont="1" applyFill="1" applyBorder="1"/>
    <xf numFmtId="0" fontId="21" fillId="24" borderId="0" xfId="0" applyFont="1" applyFill="1"/>
    <xf numFmtId="0" fontId="21" fillId="24" borderId="0" xfId="0" applyFont="1" applyFill="1"/>
    <xf numFmtId="0" fontId="21" fillId="0" borderId="0" xfId="0" applyFont="1"/>
    <xf numFmtId="0" fontId="25" fillId="3" borderId="1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4" fillId="24" borderId="10" xfId="0" applyFont="1" applyFill="1" applyBorder="1"/>
    <xf numFmtId="0" fontId="35" fillId="2" borderId="0" xfId="0" applyFont="1" applyFill="1"/>
    <xf numFmtId="0" fontId="43" fillId="5" borderId="2" xfId="0" applyFont="1" applyFill="1" applyBorder="1" applyAlignment="1">
      <alignment horizontal="center" vertical="center" wrapText="1"/>
    </xf>
    <xf numFmtId="0" fontId="39" fillId="4" borderId="2" xfId="0" applyFont="1" applyFill="1" applyBorder="1" applyAlignment="1">
      <alignment horizontal="center" vertical="center" wrapText="1"/>
    </xf>
    <xf numFmtId="0" fontId="44" fillId="4" borderId="2" xfId="0" applyFont="1" applyFill="1" applyBorder="1" applyAlignment="1">
      <alignment horizontal="center" vertical="center" wrapText="1"/>
    </xf>
    <xf numFmtId="0" fontId="45" fillId="4" borderId="2" xfId="0" applyFont="1" applyFill="1" applyBorder="1" applyAlignment="1">
      <alignment horizontal="center" vertical="center" wrapText="1"/>
    </xf>
    <xf numFmtId="0" fontId="39" fillId="10" borderId="2" xfId="0" applyFont="1" applyFill="1" applyBorder="1" applyAlignment="1">
      <alignment horizontal="center" vertical="center" wrapText="1"/>
    </xf>
    <xf numFmtId="0" fontId="47" fillId="4" borderId="2" xfId="0" applyFont="1" applyFill="1" applyBorder="1" applyAlignment="1">
      <alignment horizontal="center" vertical="center" wrapText="1"/>
    </xf>
    <xf numFmtId="0" fontId="47" fillId="10" borderId="2" xfId="0" applyFont="1" applyFill="1" applyBorder="1" applyAlignment="1">
      <alignment horizontal="center" vertical="center" wrapText="1"/>
    </xf>
    <xf numFmtId="0" fontId="50" fillId="6" borderId="2" xfId="0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 wrapText="1"/>
    </xf>
    <xf numFmtId="0" fontId="45" fillId="10" borderId="2" xfId="0" applyFont="1" applyFill="1" applyBorder="1" applyAlignment="1">
      <alignment horizontal="center" vertical="center" wrapText="1"/>
    </xf>
    <xf numFmtId="0" fontId="35" fillId="24" borderId="0" xfId="0" applyFont="1" applyFill="1"/>
    <xf numFmtId="0" fontId="56" fillId="5" borderId="2" xfId="0" applyFont="1" applyFill="1" applyBorder="1" applyAlignment="1">
      <alignment horizontal="center" vertical="center" wrapText="1"/>
    </xf>
    <xf numFmtId="0" fontId="52" fillId="14" borderId="2" xfId="0" applyFont="1" applyFill="1" applyBorder="1" applyAlignment="1">
      <alignment horizontal="center" vertical="center" wrapText="1"/>
    </xf>
    <xf numFmtId="0" fontId="52" fillId="12" borderId="2" xfId="0" applyFont="1" applyFill="1" applyBorder="1" applyAlignment="1">
      <alignment horizontal="center" vertical="center" wrapText="1"/>
    </xf>
    <xf numFmtId="0" fontId="58" fillId="9" borderId="2" xfId="0" applyFont="1" applyFill="1" applyBorder="1" applyAlignment="1">
      <alignment horizontal="center" vertical="center" wrapText="1"/>
    </xf>
    <xf numFmtId="0" fontId="58" fillId="6" borderId="2" xfId="0" applyFont="1" applyFill="1" applyBorder="1" applyAlignment="1">
      <alignment horizontal="center" vertical="center" wrapText="1"/>
    </xf>
    <xf numFmtId="0" fontId="58" fillId="8" borderId="2" xfId="0" applyFont="1" applyFill="1" applyBorder="1" applyAlignment="1">
      <alignment horizontal="center" vertical="center" wrapText="1"/>
    </xf>
    <xf numFmtId="0" fontId="58" fillId="13" borderId="2" xfId="0" applyFont="1" applyFill="1" applyBorder="1" applyAlignment="1">
      <alignment horizontal="center" vertical="center" wrapText="1"/>
    </xf>
    <xf numFmtId="0" fontId="52" fillId="18" borderId="2" xfId="0" applyFont="1" applyFill="1" applyBorder="1" applyAlignment="1">
      <alignment horizontal="center" vertical="center" wrapText="1"/>
    </xf>
    <xf numFmtId="0" fontId="52" fillId="20" borderId="2" xfId="0" applyFont="1" applyFill="1" applyBorder="1" applyAlignment="1">
      <alignment horizontal="center" vertical="center" wrapText="1"/>
    </xf>
    <xf numFmtId="0" fontId="52" fillId="19" borderId="2" xfId="0" applyFont="1" applyFill="1" applyBorder="1" applyAlignment="1">
      <alignment horizontal="center" vertical="center" wrapText="1"/>
    </xf>
    <xf numFmtId="0" fontId="52" fillId="10" borderId="2" xfId="0" applyFont="1" applyFill="1" applyBorder="1" applyAlignment="1">
      <alignment horizontal="center" vertical="center" wrapText="1"/>
    </xf>
    <xf numFmtId="0" fontId="54" fillId="10" borderId="2" xfId="0" applyFont="1" applyFill="1" applyBorder="1" applyAlignment="1">
      <alignment horizontal="center" vertical="center" wrapText="1"/>
    </xf>
    <xf numFmtId="0" fontId="57" fillId="10" borderId="2" xfId="0" applyFont="1" applyFill="1" applyBorder="1" applyAlignment="1">
      <alignment horizontal="center" vertical="center" wrapText="1"/>
    </xf>
    <xf numFmtId="0" fontId="53" fillId="4" borderId="2" xfId="0" applyNumberFormat="1" applyFont="1" applyFill="1" applyBorder="1" applyAlignment="1">
      <alignment horizontal="center" vertical="center" wrapText="1"/>
    </xf>
    <xf numFmtId="3" fontId="53" fillId="4" borderId="2" xfId="0" applyNumberFormat="1" applyFont="1" applyFill="1" applyBorder="1" applyAlignment="1">
      <alignment horizontal="center" vertical="center" wrapText="1"/>
    </xf>
    <xf numFmtId="0" fontId="52" fillId="12" borderId="2" xfId="0" applyNumberFormat="1" applyFont="1" applyFill="1" applyBorder="1" applyAlignment="1">
      <alignment horizontal="center" vertical="center" wrapText="1"/>
    </xf>
    <xf numFmtId="3" fontId="52" fillId="12" borderId="2" xfId="0" applyNumberFormat="1" applyFont="1" applyFill="1" applyBorder="1" applyAlignment="1">
      <alignment horizontal="center" vertical="center" wrapText="1"/>
    </xf>
    <xf numFmtId="10" fontId="57" fillId="4" borderId="2" xfId="0" applyNumberFormat="1" applyFont="1" applyFill="1" applyBorder="1" applyAlignment="1">
      <alignment horizontal="center" vertical="center" wrapText="1"/>
    </xf>
    <xf numFmtId="0" fontId="59" fillId="4" borderId="2" xfId="0" applyFont="1" applyFill="1" applyBorder="1" applyAlignment="1">
      <alignment horizontal="center" vertical="center" wrapText="1"/>
    </xf>
    <xf numFmtId="0" fontId="61" fillId="6" borderId="2" xfId="0" applyFont="1" applyFill="1" applyBorder="1" applyAlignment="1">
      <alignment horizontal="center" vertical="center" wrapText="1"/>
    </xf>
    <xf numFmtId="0" fontId="61" fillId="13" borderId="2" xfId="0" applyFont="1" applyFill="1" applyBorder="1" applyAlignment="1">
      <alignment horizontal="center" vertical="center" wrapText="1"/>
    </xf>
    <xf numFmtId="0" fontId="61" fillId="8" borderId="2" xfId="0" applyFont="1" applyFill="1" applyBorder="1" applyAlignment="1">
      <alignment horizontal="center" vertical="center" wrapText="1"/>
    </xf>
    <xf numFmtId="0" fontId="59" fillId="10" borderId="2" xfId="0" applyFont="1" applyFill="1" applyBorder="1" applyAlignment="1">
      <alignment horizontal="center" vertical="center" wrapText="1"/>
    </xf>
    <xf numFmtId="10" fontId="48" fillId="4" borderId="2" xfId="0" applyNumberFormat="1" applyFont="1" applyFill="1" applyBorder="1" applyAlignment="1">
      <alignment horizontal="center" vertical="center" wrapText="1"/>
    </xf>
    <xf numFmtId="0" fontId="46" fillId="4" borderId="2" xfId="0" applyNumberFormat="1" applyFont="1" applyFill="1" applyBorder="1" applyAlignment="1">
      <alignment horizontal="center" vertical="center" wrapText="1"/>
    </xf>
    <xf numFmtId="3" fontId="46" fillId="4" borderId="2" xfId="0" applyNumberFormat="1" applyFont="1" applyFill="1" applyBorder="1" applyAlignment="1">
      <alignment horizontal="center" vertical="center" wrapText="1"/>
    </xf>
    <xf numFmtId="10" fontId="48" fillId="10" borderId="2" xfId="0" applyNumberFormat="1" applyFont="1" applyFill="1" applyBorder="1" applyAlignment="1">
      <alignment horizontal="center" vertical="center" wrapText="1"/>
    </xf>
    <xf numFmtId="3" fontId="46" fillId="10" borderId="2" xfId="0" applyNumberFormat="1" applyFont="1" applyFill="1" applyBorder="1" applyAlignment="1">
      <alignment horizontal="center" vertical="center" wrapText="1"/>
    </xf>
    <xf numFmtId="10" fontId="51" fillId="4" borderId="2" xfId="0" applyNumberFormat="1" applyFont="1" applyFill="1" applyBorder="1" applyAlignment="1">
      <alignment horizontal="center" vertical="center" wrapText="1"/>
    </xf>
    <xf numFmtId="0" fontId="45" fillId="4" borderId="2" xfId="0" applyNumberFormat="1" applyFont="1" applyFill="1" applyBorder="1" applyAlignment="1">
      <alignment horizontal="center" vertical="center" wrapText="1"/>
    </xf>
    <xf numFmtId="3" fontId="45" fillId="4" borderId="2" xfId="0" applyNumberFormat="1" applyFont="1" applyFill="1" applyBorder="1" applyAlignment="1">
      <alignment horizontal="center" vertical="center" wrapText="1"/>
    </xf>
    <xf numFmtId="10" fontId="51" fillId="10" borderId="2" xfId="0" applyNumberFormat="1" applyFont="1" applyFill="1" applyBorder="1" applyAlignment="1">
      <alignment horizontal="center" vertical="center" wrapText="1"/>
    </xf>
    <xf numFmtId="3" fontId="45" fillId="10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2" borderId="0" xfId="0" applyFill="1"/>
    <xf numFmtId="0" fontId="0" fillId="0" borderId="0" xfId="0" applyFill="1"/>
    <xf numFmtId="0" fontId="0" fillId="24" borderId="0" xfId="0" applyFill="1"/>
    <xf numFmtId="0" fontId="1" fillId="4" borderId="2" xfId="0" applyNumberFormat="1" applyFont="1" applyFill="1" applyBorder="1" applyAlignment="1">
      <alignment horizontal="center" vertical="center" wrapText="1"/>
    </xf>
    <xf numFmtId="10" fontId="6" fillId="4" borderId="2" xfId="0" applyNumberFormat="1" applyFont="1" applyFill="1" applyBorder="1" applyAlignment="1">
      <alignment horizontal="center" vertical="center" wrapText="1"/>
    </xf>
    <xf numFmtId="0" fontId="63" fillId="4" borderId="2" xfId="0" applyFont="1" applyFill="1" applyBorder="1" applyAlignment="1">
      <alignment horizontal="center" vertical="center" wrapText="1"/>
    </xf>
    <xf numFmtId="0" fontId="67" fillId="5" borderId="2" xfId="0" applyFont="1" applyFill="1" applyBorder="1" applyAlignment="1">
      <alignment horizontal="center" vertical="center" wrapText="1"/>
    </xf>
    <xf numFmtId="0" fontId="69" fillId="4" borderId="2" xfId="0" applyFont="1" applyFill="1" applyBorder="1" applyAlignment="1">
      <alignment horizontal="center" vertical="center" wrapText="1"/>
    </xf>
    <xf numFmtId="0" fontId="70" fillId="14" borderId="2" xfId="0" applyFont="1" applyFill="1" applyBorder="1" applyAlignment="1">
      <alignment horizontal="center" vertical="center" wrapText="1"/>
    </xf>
    <xf numFmtId="0" fontId="71" fillId="9" borderId="2" xfId="0" applyFont="1" applyFill="1" applyBorder="1" applyAlignment="1">
      <alignment horizontal="center" vertical="center" wrapText="1"/>
    </xf>
    <xf numFmtId="0" fontId="69" fillId="18" borderId="2" xfId="0" applyFont="1" applyFill="1" applyBorder="1" applyAlignment="1">
      <alignment horizontal="center" vertical="center" wrapText="1"/>
    </xf>
    <xf numFmtId="0" fontId="74" fillId="12" borderId="2" xfId="0" applyFont="1" applyFill="1" applyBorder="1" applyAlignment="1">
      <alignment horizontal="center" vertical="center" wrapText="1"/>
    </xf>
    <xf numFmtId="0" fontId="74" fillId="16" borderId="2" xfId="0" applyFont="1" applyFill="1" applyBorder="1" applyAlignment="1">
      <alignment horizontal="center" vertical="center" wrapText="1"/>
    </xf>
    <xf numFmtId="0" fontId="75" fillId="8" borderId="2" xfId="0" applyFont="1" applyFill="1" applyBorder="1" applyAlignment="1">
      <alignment horizontal="center" vertical="center" wrapText="1"/>
    </xf>
    <xf numFmtId="0" fontId="70" fillId="16" borderId="2" xfId="0" applyFont="1" applyFill="1" applyBorder="1" applyAlignment="1">
      <alignment horizontal="center" vertical="center" wrapText="1"/>
    </xf>
    <xf numFmtId="0" fontId="76" fillId="7" borderId="2" xfId="0" applyFont="1" applyFill="1" applyBorder="1" applyAlignment="1">
      <alignment horizontal="center" vertical="center" wrapText="1"/>
    </xf>
    <xf numFmtId="0" fontId="70" fillId="12" borderId="2" xfId="0" applyFont="1" applyFill="1" applyBorder="1" applyAlignment="1">
      <alignment horizontal="center" vertical="center" wrapText="1"/>
    </xf>
    <xf numFmtId="0" fontId="77" fillId="13" borderId="2" xfId="0" applyFont="1" applyFill="1" applyBorder="1" applyAlignment="1">
      <alignment horizontal="center" vertical="center" wrapText="1"/>
    </xf>
    <xf numFmtId="0" fontId="75" fillId="6" borderId="2" xfId="0" applyFont="1" applyFill="1" applyBorder="1" applyAlignment="1">
      <alignment horizontal="center" vertical="center" wrapText="1"/>
    </xf>
    <xf numFmtId="0" fontId="80" fillId="4" borderId="2" xfId="0" applyFont="1" applyFill="1" applyBorder="1" applyAlignment="1">
      <alignment horizontal="center" vertical="center" wrapText="1"/>
    </xf>
    <xf numFmtId="0" fontId="79" fillId="14" borderId="2" xfId="0" applyFont="1" applyFill="1" applyBorder="1" applyAlignment="1">
      <alignment horizontal="center" vertical="center" wrapText="1"/>
    </xf>
    <xf numFmtId="0" fontId="72" fillId="20" borderId="2" xfId="0" applyNumberFormat="1" applyFont="1" applyFill="1" applyBorder="1" applyAlignment="1">
      <alignment horizontal="center" vertical="center" wrapText="1"/>
    </xf>
    <xf numFmtId="3" fontId="72" fillId="20" borderId="2" xfId="0" applyNumberFormat="1" applyFont="1" applyFill="1" applyBorder="1" applyAlignment="1">
      <alignment horizontal="center" vertical="center" wrapText="1"/>
    </xf>
    <xf numFmtId="3" fontId="69" fillId="18" borderId="2" xfId="0" applyNumberFormat="1" applyFont="1" applyFill="1" applyBorder="1" applyAlignment="1">
      <alignment horizontal="center" vertical="center" wrapText="1"/>
    </xf>
    <xf numFmtId="3" fontId="70" fillId="18" borderId="2" xfId="0" applyNumberFormat="1" applyFont="1" applyFill="1" applyBorder="1" applyAlignment="1">
      <alignment horizontal="center" vertical="center" wrapText="1"/>
    </xf>
    <xf numFmtId="0" fontId="73" fillId="14" borderId="2" xfId="0" applyNumberFormat="1" applyFont="1" applyFill="1" applyBorder="1" applyAlignment="1">
      <alignment horizontal="center" vertical="center" wrapText="1"/>
    </xf>
    <xf numFmtId="10" fontId="73" fillId="14" borderId="2" xfId="0" applyNumberFormat="1" applyFont="1" applyFill="1" applyBorder="1" applyAlignment="1">
      <alignment horizontal="center" vertical="center" wrapText="1"/>
    </xf>
    <xf numFmtId="0" fontId="74" fillId="12" borderId="2" xfId="0" applyNumberFormat="1" applyFont="1" applyFill="1" applyBorder="1" applyAlignment="1">
      <alignment horizontal="center" vertical="center" wrapText="1"/>
    </xf>
    <xf numFmtId="10" fontId="74" fillId="12" borderId="2" xfId="0" applyNumberFormat="1" applyFont="1" applyFill="1" applyBorder="1" applyAlignment="1">
      <alignment horizontal="center" vertical="center" wrapText="1"/>
    </xf>
    <xf numFmtId="176" fontId="0" fillId="24" borderId="0" xfId="0" applyNumberFormat="1" applyFill="1"/>
    <xf numFmtId="0" fontId="74" fillId="16" borderId="2" xfId="0" quotePrefix="1" applyFont="1" applyFill="1" applyBorder="1" applyAlignment="1">
      <alignment horizontal="center" vertical="center" wrapText="1"/>
    </xf>
    <xf numFmtId="0" fontId="75" fillId="11" borderId="2" xfId="0" applyFont="1" applyFill="1" applyBorder="1" applyAlignment="1">
      <alignment horizontal="center" vertical="center" wrapText="1"/>
    </xf>
    <xf numFmtId="0" fontId="70" fillId="4" borderId="2" xfId="0" applyFont="1" applyFill="1" applyBorder="1" applyAlignment="1">
      <alignment horizontal="center" vertical="center" wrapText="1"/>
    </xf>
    <xf numFmtId="3" fontId="75" fillId="11" borderId="2" xfId="0" applyNumberFormat="1" applyFont="1" applyFill="1" applyBorder="1" applyAlignment="1">
      <alignment horizontal="center" vertical="center" wrapText="1"/>
    </xf>
    <xf numFmtId="3" fontId="70" fillId="4" borderId="2" xfId="0" applyNumberFormat="1" applyFont="1" applyFill="1" applyBorder="1" applyAlignment="1">
      <alignment horizontal="center" vertical="center" wrapText="1"/>
    </xf>
    <xf numFmtId="0" fontId="75" fillId="17" borderId="2" xfId="0" applyFont="1" applyFill="1" applyBorder="1" applyAlignment="1">
      <alignment horizontal="center" vertical="center" wrapText="1"/>
    </xf>
    <xf numFmtId="0" fontId="75" fillId="21" borderId="2" xfId="0" applyFont="1" applyFill="1" applyBorder="1" applyAlignment="1">
      <alignment horizontal="center" vertical="center" wrapText="1"/>
    </xf>
    <xf numFmtId="0" fontId="75" fillId="22" borderId="2" xfId="0" applyFont="1" applyFill="1" applyBorder="1" applyAlignment="1">
      <alignment horizontal="center" vertical="center" wrapText="1"/>
    </xf>
    <xf numFmtId="0" fontId="75" fillId="23" borderId="2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left" vertical="center" wrapText="1"/>
    </xf>
    <xf numFmtId="0" fontId="19" fillId="0" borderId="5" xfId="0" applyFont="1" applyFill="1" applyBorder="1"/>
    <xf numFmtId="0" fontId="19" fillId="0" borderId="6" xfId="0" applyFont="1" applyFill="1" applyBorder="1"/>
    <xf numFmtId="0" fontId="19" fillId="0" borderId="2" xfId="0" applyFont="1" applyFill="1" applyBorder="1" applyAlignment="1">
      <alignment horizontal="left" vertical="center" wrapText="1"/>
    </xf>
    <xf numFmtId="0" fontId="29" fillId="4" borderId="11" xfId="0" applyFont="1" applyFill="1" applyBorder="1" applyAlignment="1">
      <alignment horizontal="center" vertical="center" wrapText="1"/>
    </xf>
    <xf numFmtId="0" fontId="21" fillId="0" borderId="11" xfId="0" applyFont="1" applyBorder="1"/>
    <xf numFmtId="0" fontId="27" fillId="0" borderId="2" xfId="0" applyFont="1" applyFill="1" applyBorder="1" applyAlignment="1">
      <alignment horizontal="left" vertical="center" wrapText="1"/>
    </xf>
    <xf numFmtId="0" fontId="30" fillId="4" borderId="11" xfId="0" applyFont="1" applyFill="1" applyBorder="1" applyAlignment="1">
      <alignment horizontal="center" vertical="center" wrapText="1"/>
    </xf>
    <xf numFmtId="0" fontId="32" fillId="4" borderId="11" xfId="0" applyFont="1" applyFill="1" applyBorder="1" applyAlignment="1">
      <alignment horizontal="center" vertical="center" wrapText="1"/>
    </xf>
    <xf numFmtId="0" fontId="24" fillId="24" borderId="0" xfId="0" applyFont="1" applyFill="1"/>
    <xf numFmtId="0" fontId="21" fillId="24" borderId="0" xfId="0" applyFont="1" applyFill="1"/>
    <xf numFmtId="0" fontId="23" fillId="2" borderId="0" xfId="0" applyFont="1" applyFill="1" applyAlignment="1">
      <alignment horizontal="left" vertical="center" wrapText="1"/>
    </xf>
    <xf numFmtId="0" fontId="21" fillId="0" borderId="0" xfId="0" applyFont="1"/>
    <xf numFmtId="0" fontId="28" fillId="10" borderId="11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2" fillId="0" borderId="5" xfId="0" applyFont="1" applyBorder="1"/>
    <xf numFmtId="0" fontId="22" fillId="0" borderId="6" xfId="0" applyFont="1" applyBorder="1"/>
    <xf numFmtId="0" fontId="24" fillId="4" borderId="0" xfId="0" applyFont="1" applyFill="1"/>
    <xf numFmtId="0" fontId="31" fillId="4" borderId="11" xfId="0" applyFont="1" applyFill="1" applyBorder="1" applyAlignment="1">
      <alignment horizontal="center" vertical="center" wrapText="1"/>
    </xf>
    <xf numFmtId="0" fontId="44" fillId="4" borderId="2" xfId="0" applyFont="1" applyFill="1" applyBorder="1" applyAlignment="1">
      <alignment horizontal="left" vertical="center" wrapText="1"/>
    </xf>
    <xf numFmtId="0" fontId="35" fillId="0" borderId="5" xfId="0" applyFont="1" applyBorder="1"/>
    <xf numFmtId="0" fontId="35" fillId="0" borderId="6" xfId="0" applyFont="1" applyBorder="1"/>
    <xf numFmtId="0" fontId="49" fillId="24" borderId="0" xfId="0" applyFont="1" applyFill="1"/>
    <xf numFmtId="0" fontId="35" fillId="24" borderId="0" xfId="0" applyFont="1" applyFill="1"/>
    <xf numFmtId="0" fontId="42" fillId="24" borderId="0" xfId="0" applyFont="1" applyFill="1"/>
    <xf numFmtId="0" fontId="54" fillId="4" borderId="2" xfId="0" applyFont="1" applyFill="1" applyBorder="1" applyAlignment="1">
      <alignment horizontal="left" vertical="center" wrapText="1"/>
    </xf>
    <xf numFmtId="0" fontId="55" fillId="0" borderId="6" xfId="0" applyFont="1" applyBorder="1"/>
    <xf numFmtId="0" fontId="60" fillId="0" borderId="5" xfId="0" applyFont="1" applyBorder="1"/>
    <xf numFmtId="0" fontId="60" fillId="0" borderId="6" xfId="0" applyFont="1" applyBorder="1"/>
    <xf numFmtId="0" fontId="39" fillId="10" borderId="2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35" fillId="0" borderId="3" xfId="0" applyFont="1" applyBorder="1"/>
    <xf numFmtId="0" fontId="35" fillId="0" borderId="4" xfId="0" applyFont="1" applyBorder="1"/>
    <xf numFmtId="0" fontId="35" fillId="0" borderId="7" xfId="0" applyFont="1" applyBorder="1"/>
    <xf numFmtId="0" fontId="35" fillId="0" borderId="9" xfId="0" applyFont="1" applyBorder="1"/>
    <xf numFmtId="0" fontId="35" fillId="0" borderId="8" xfId="0" applyFont="1" applyBorder="1"/>
    <xf numFmtId="0" fontId="53" fillId="4" borderId="2" xfId="0" applyFont="1" applyFill="1" applyBorder="1" applyAlignment="1">
      <alignment horizontal="left" vertical="center" wrapText="1"/>
    </xf>
    <xf numFmtId="0" fontId="55" fillId="0" borderId="5" xfId="0" applyFont="1" applyBorder="1"/>
    <xf numFmtId="0" fontId="39" fillId="4" borderId="2" xfId="0" applyFont="1" applyFill="1" applyBorder="1" applyAlignment="1">
      <alignment horizontal="center" vertical="center" wrapText="1"/>
    </xf>
    <xf numFmtId="0" fontId="45" fillId="10" borderId="2" xfId="0" applyFont="1" applyFill="1" applyBorder="1" applyAlignment="1">
      <alignment horizontal="center" vertical="center" wrapText="1"/>
    </xf>
    <xf numFmtId="0" fontId="56" fillId="5" borderId="2" xfId="0" applyFont="1" applyFill="1" applyBorder="1" applyAlignment="1">
      <alignment horizontal="center" vertical="center" wrapText="1"/>
    </xf>
    <xf numFmtId="0" fontId="43" fillId="5" borderId="2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center" vertical="center" wrapText="1"/>
    </xf>
    <xf numFmtId="0" fontId="59" fillId="10" borderId="2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39" fillId="20" borderId="2" xfId="0" applyFont="1" applyFill="1" applyBorder="1" applyAlignment="1">
      <alignment horizontal="center" vertical="center" wrapText="1"/>
    </xf>
    <xf numFmtId="0" fontId="42" fillId="2" borderId="0" xfId="0" applyFont="1" applyFill="1"/>
    <xf numFmtId="0" fontId="35" fillId="0" borderId="0" xfId="0" applyFont="1"/>
    <xf numFmtId="0" fontId="36" fillId="2" borderId="0" xfId="0" applyFont="1" applyFill="1"/>
    <xf numFmtId="0" fontId="39" fillId="18" borderId="2" xfId="0" applyFont="1" applyFill="1" applyBorder="1" applyAlignment="1">
      <alignment horizontal="center" vertical="center" wrapText="1"/>
    </xf>
    <xf numFmtId="0" fontId="54" fillId="10" borderId="2" xfId="0" applyFont="1" applyFill="1" applyBorder="1" applyAlignment="1">
      <alignment horizontal="center" vertical="center" wrapText="1"/>
    </xf>
    <xf numFmtId="0" fontId="44" fillId="10" borderId="2" xfId="0" applyFont="1" applyFill="1" applyBorder="1" applyAlignment="1">
      <alignment horizontal="left" vertical="center" wrapText="1"/>
    </xf>
    <xf numFmtId="0" fontId="39" fillId="19" borderId="2" xfId="0" applyFont="1" applyFill="1" applyBorder="1" applyAlignment="1">
      <alignment horizontal="center" vertical="center" wrapText="1"/>
    </xf>
    <xf numFmtId="0" fontId="38" fillId="10" borderId="2" xfId="0" applyFont="1" applyFill="1" applyBorder="1" applyAlignment="1">
      <alignment horizontal="center" vertical="center" wrapText="1"/>
    </xf>
    <xf numFmtId="0" fontId="38" fillId="24" borderId="0" xfId="0" applyFont="1" applyFill="1"/>
    <xf numFmtId="0" fontId="39" fillId="14" borderId="2" xfId="0" applyFont="1" applyFill="1" applyBorder="1" applyAlignment="1">
      <alignment horizontal="center" vertical="center" wrapText="1"/>
    </xf>
    <xf numFmtId="0" fontId="37" fillId="2" borderId="0" xfId="0" applyFont="1" applyFill="1"/>
    <xf numFmtId="0" fontId="5" fillId="4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4" fillId="4" borderId="2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2" fillId="2" borderId="0" xfId="0" applyFont="1" applyFill="1"/>
    <xf numFmtId="0" fontId="4" fillId="4" borderId="2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7" fillId="2" borderId="0" xfId="0" applyFont="1" applyFill="1"/>
    <xf numFmtId="0" fontId="6" fillId="4" borderId="2" xfId="0" applyFont="1" applyFill="1" applyBorder="1" applyAlignment="1">
      <alignment horizontal="left" vertical="center" wrapText="1"/>
    </xf>
    <xf numFmtId="0" fontId="3" fillId="24" borderId="0" xfId="0" applyFont="1" applyFill="1"/>
    <xf numFmtId="0" fontId="0" fillId="24" borderId="0" xfId="0" applyFill="1"/>
    <xf numFmtId="0" fontId="1" fillId="10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70" fillId="4" borderId="2" xfId="0" applyFont="1" applyFill="1" applyBorder="1" applyAlignment="1">
      <alignment horizontal="left" vertical="center" wrapText="1"/>
    </xf>
    <xf numFmtId="0" fontId="68" fillId="0" borderId="5" xfId="0" applyFont="1" applyBorder="1"/>
    <xf numFmtId="0" fontId="68" fillId="0" borderId="6" xfId="0" applyFont="1" applyBorder="1"/>
    <xf numFmtId="0" fontId="67" fillId="5" borderId="2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3" fillId="14" borderId="2" xfId="0" applyFont="1" applyFill="1" applyBorder="1" applyAlignment="1">
      <alignment horizontal="center" vertical="center" wrapText="1"/>
    </xf>
    <xf numFmtId="0" fontId="74" fillId="11" borderId="2" xfId="0" applyFont="1" applyFill="1" applyBorder="1" applyAlignment="1">
      <alignment horizontal="center" vertical="center" wrapText="1"/>
    </xf>
    <xf numFmtId="0" fontId="73" fillId="14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74" fillId="16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83" fillId="12" borderId="2" xfId="0" applyFont="1" applyFill="1" applyBorder="1" applyAlignment="1">
      <alignment horizontal="center" vertical="center" wrapText="1"/>
    </xf>
    <xf numFmtId="0" fontId="15" fillId="18" borderId="0" xfId="0" applyFont="1" applyFill="1"/>
    <xf numFmtId="0" fontId="75" fillId="11" borderId="2" xfId="0" applyFont="1" applyFill="1" applyBorder="1" applyAlignment="1">
      <alignment horizontal="left" vertical="center" wrapText="1"/>
    </xf>
    <xf numFmtId="0" fontId="83" fillId="10" borderId="2" xfId="0" applyFont="1" applyFill="1" applyBorder="1" applyAlignment="1">
      <alignment horizontal="center" vertical="center" wrapText="1"/>
    </xf>
    <xf numFmtId="0" fontId="73" fillId="11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12" fillId="2" borderId="0" xfId="0" applyFont="1" applyFill="1"/>
    <xf numFmtId="0" fontId="70" fillId="12" borderId="2" xfId="0" applyFont="1" applyFill="1" applyBorder="1" applyAlignment="1">
      <alignment horizontal="left" vertical="center" wrapText="1"/>
    </xf>
    <xf numFmtId="0" fontId="17" fillId="24" borderId="0" xfId="0" applyFont="1" applyFill="1"/>
    <xf numFmtId="0" fontId="15" fillId="12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70" fillId="4" borderId="10" xfId="0" applyFont="1" applyFill="1" applyBorder="1" applyAlignment="1">
      <alignment horizontal="center" vertical="center" wrapText="1"/>
    </xf>
    <xf numFmtId="0" fontId="69" fillId="4" borderId="10" xfId="0" applyFont="1" applyFill="1" applyBorder="1" applyAlignment="1">
      <alignment horizontal="center" vertical="center" wrapText="1"/>
    </xf>
    <xf numFmtId="0" fontId="70" fillId="4" borderId="10" xfId="0" applyFont="1" applyFill="1" applyBorder="1" applyAlignment="1">
      <alignment horizontal="left" vertical="center" wrapText="1"/>
    </xf>
    <xf numFmtId="0" fontId="68" fillId="0" borderId="10" xfId="0" applyFont="1" applyBorder="1"/>
    <xf numFmtId="0" fontId="73" fillId="14" borderId="10" xfId="0" applyFont="1" applyFill="1" applyBorder="1" applyAlignment="1">
      <alignment horizontal="center" vertical="center" wrapText="1"/>
    </xf>
    <xf numFmtId="0" fontId="74" fillId="16" borderId="10" xfId="0" applyFont="1" applyFill="1" applyBorder="1" applyAlignment="1">
      <alignment horizontal="center" vertical="center" wrapText="1"/>
    </xf>
    <xf numFmtId="0" fontId="70" fillId="25" borderId="2" xfId="0" applyFont="1" applyFill="1" applyBorder="1" applyAlignment="1">
      <alignment horizontal="center" vertical="center" wrapText="1"/>
    </xf>
    <xf numFmtId="0" fontId="69" fillId="25" borderId="2" xfId="0" applyFont="1" applyFill="1" applyBorder="1" applyAlignment="1">
      <alignment horizontal="center" vertical="center" wrapText="1"/>
    </xf>
    <xf numFmtId="0" fontId="70" fillId="25" borderId="2" xfId="0" applyFont="1" applyFill="1" applyBorder="1" applyAlignment="1">
      <alignment horizontal="left" vertical="center" wrapText="1"/>
    </xf>
    <xf numFmtId="0" fontId="68" fillId="25" borderId="6" xfId="0" applyFont="1" applyFill="1" applyBorder="1"/>
    <xf numFmtId="0" fontId="80" fillId="25" borderId="2" xfId="0" applyFont="1" applyFill="1" applyBorder="1" applyAlignment="1">
      <alignment horizontal="center" vertical="center" wrapText="1"/>
    </xf>
    <xf numFmtId="0" fontId="78" fillId="5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showGridLines="0" workbookViewId="0">
      <selection activeCell="O10" sqref="O10"/>
    </sheetView>
  </sheetViews>
  <sheetFormatPr defaultRowHeight="17.399999999999999" x14ac:dyDescent="0.4"/>
  <cols>
    <col min="1" max="1" width="3" customWidth="1"/>
    <col min="2" max="10" width="11" customWidth="1"/>
    <col min="11" max="11" width="14.19921875" customWidth="1"/>
    <col min="12" max="12" width="11" customWidth="1"/>
  </cols>
  <sheetData>
    <row r="1" spans="1:12" x14ac:dyDescent="0.4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4">
      <c r="A2" s="17"/>
      <c r="B2" s="122" t="s">
        <v>0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</row>
    <row r="3" spans="1:12" x14ac:dyDescent="0.4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x14ac:dyDescent="0.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19.2" x14ac:dyDescent="0.45">
      <c r="A5" s="17"/>
      <c r="B5" s="128" t="s">
        <v>1</v>
      </c>
      <c r="C5" s="123"/>
      <c r="D5" s="123"/>
      <c r="E5" s="123"/>
      <c r="F5" s="123"/>
      <c r="G5" s="123"/>
      <c r="H5" s="123"/>
      <c r="I5" s="123"/>
      <c r="J5" s="123"/>
      <c r="K5" s="123"/>
      <c r="L5" s="17"/>
    </row>
    <row r="6" spans="1:12" x14ac:dyDescent="0.4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31.95" customHeight="1" x14ac:dyDescent="0.4">
      <c r="A7" s="17"/>
      <c r="B7" s="23" t="s">
        <v>2</v>
      </c>
      <c r="C7" s="125" t="s">
        <v>593</v>
      </c>
      <c r="D7" s="126"/>
      <c r="E7" s="126"/>
      <c r="F7" s="126"/>
      <c r="G7" s="126"/>
      <c r="H7" s="126"/>
      <c r="I7" s="126"/>
      <c r="J7" s="126"/>
      <c r="K7" s="127"/>
      <c r="L7" s="17"/>
    </row>
    <row r="8" spans="1:12" x14ac:dyDescent="0.4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 ht="31.95" customHeight="1" x14ac:dyDescent="0.4">
      <c r="A9" s="17"/>
      <c r="B9" s="23" t="s">
        <v>3</v>
      </c>
      <c r="C9" s="125" t="s">
        <v>594</v>
      </c>
      <c r="D9" s="126"/>
      <c r="E9" s="126"/>
      <c r="F9" s="126"/>
      <c r="G9" s="126"/>
      <c r="H9" s="126"/>
      <c r="I9" s="126"/>
      <c r="J9" s="126"/>
      <c r="K9" s="127"/>
      <c r="L9" s="17"/>
    </row>
    <row r="10" spans="1:12" x14ac:dyDescent="0.4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 ht="31.95" customHeight="1" x14ac:dyDescent="0.4">
      <c r="A11" s="17"/>
      <c r="B11" s="23" t="s">
        <v>4</v>
      </c>
      <c r="C11" s="117" t="s">
        <v>595</v>
      </c>
      <c r="D11" s="112"/>
      <c r="E11" s="112"/>
      <c r="F11" s="112"/>
      <c r="G11" s="112"/>
      <c r="H11" s="112"/>
      <c r="I11" s="112"/>
      <c r="J11" s="112"/>
      <c r="K11" s="113"/>
      <c r="L11" s="17"/>
    </row>
    <row r="12" spans="1:12" x14ac:dyDescent="0.4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22.05" customHeight="1" x14ac:dyDescent="0.4">
      <c r="A13" s="17"/>
      <c r="B13" s="124" t="s">
        <v>596</v>
      </c>
      <c r="C13" s="116"/>
      <c r="D13" s="116"/>
      <c r="E13" s="124" t="s">
        <v>5</v>
      </c>
      <c r="F13" s="116"/>
      <c r="G13" s="124" t="s">
        <v>6</v>
      </c>
      <c r="H13" s="124"/>
      <c r="I13" s="124"/>
      <c r="J13" s="124"/>
      <c r="K13" s="124"/>
      <c r="L13" s="18"/>
    </row>
    <row r="14" spans="1:12" ht="25.95" customHeight="1" x14ac:dyDescent="0.4">
      <c r="A14" s="17"/>
      <c r="B14" s="115" t="s">
        <v>7</v>
      </c>
      <c r="C14" s="116"/>
      <c r="D14" s="116"/>
      <c r="E14" s="118" t="s">
        <v>8</v>
      </c>
      <c r="F14" s="116"/>
      <c r="G14" s="129" t="s">
        <v>9</v>
      </c>
      <c r="H14" s="129"/>
      <c r="I14" s="129"/>
      <c r="J14" s="129"/>
      <c r="K14" s="129"/>
      <c r="L14" s="18"/>
    </row>
    <row r="15" spans="1:12" ht="25.95" customHeight="1" x14ac:dyDescent="0.4">
      <c r="A15" s="17"/>
      <c r="B15" s="116"/>
      <c r="C15" s="116"/>
      <c r="D15" s="116"/>
      <c r="E15" s="116"/>
      <c r="F15" s="116"/>
      <c r="G15" s="129"/>
      <c r="H15" s="129"/>
      <c r="I15" s="129"/>
      <c r="J15" s="129"/>
      <c r="K15" s="129"/>
      <c r="L15" s="18"/>
    </row>
    <row r="16" spans="1:12" ht="22.05" customHeight="1" x14ac:dyDescent="0.4">
      <c r="A16" s="17"/>
      <c r="B16" s="119" t="s">
        <v>597</v>
      </c>
      <c r="C16" s="116"/>
      <c r="D16" s="116"/>
      <c r="E16" s="119" t="s">
        <v>598</v>
      </c>
      <c r="F16" s="116"/>
      <c r="G16" s="119" t="s">
        <v>599</v>
      </c>
      <c r="H16" s="119"/>
      <c r="I16" s="119"/>
      <c r="J16" s="119"/>
      <c r="K16" s="119"/>
      <c r="L16" s="18"/>
    </row>
    <row r="17" spans="1:12" ht="10.050000000000001" customHeight="1" x14ac:dyDescent="0.4">
      <c r="A17" s="17"/>
      <c r="B17" s="24"/>
      <c r="C17" s="19"/>
      <c r="D17" s="19"/>
      <c r="E17" s="24"/>
      <c r="F17" s="19"/>
      <c r="G17" s="19"/>
      <c r="H17" s="24"/>
      <c r="I17" s="19"/>
      <c r="J17" s="19"/>
      <c r="K17" s="24"/>
      <c r="L17" s="19"/>
    </row>
    <row r="18" spans="1:12" ht="19.2" x14ac:dyDescent="0.45">
      <c r="A18" s="20"/>
      <c r="B18" s="120" t="s">
        <v>600</v>
      </c>
      <c r="C18" s="121"/>
      <c r="D18" s="121"/>
      <c r="E18" s="121"/>
      <c r="F18" s="121"/>
      <c r="G18" s="121"/>
      <c r="H18" s="121"/>
      <c r="I18" s="121"/>
      <c r="J18" s="121"/>
      <c r="K18" s="121"/>
      <c r="L18" s="20"/>
    </row>
    <row r="19" spans="1:12" ht="6.6" customHeight="1" x14ac:dyDescent="0.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x14ac:dyDescent="0.4">
      <c r="A20" s="20"/>
      <c r="B20" s="111" t="s">
        <v>712</v>
      </c>
      <c r="C20" s="112"/>
      <c r="D20" s="113"/>
      <c r="E20" s="114" t="s">
        <v>618</v>
      </c>
      <c r="F20" s="112"/>
      <c r="G20" s="112"/>
      <c r="H20" s="112"/>
      <c r="I20" s="112"/>
      <c r="J20" s="112"/>
      <c r="K20" s="113"/>
      <c r="L20" s="25"/>
    </row>
    <row r="21" spans="1:12" x14ac:dyDescent="0.4">
      <c r="A21" s="20"/>
      <c r="B21" s="111" t="s">
        <v>592</v>
      </c>
      <c r="C21" s="112"/>
      <c r="D21" s="113"/>
      <c r="E21" s="114" t="s">
        <v>619</v>
      </c>
      <c r="F21" s="112"/>
      <c r="G21" s="112"/>
      <c r="H21" s="112"/>
      <c r="I21" s="112"/>
      <c r="J21" s="112"/>
      <c r="K21" s="113"/>
      <c r="L21" s="25"/>
    </row>
    <row r="22" spans="1:12" x14ac:dyDescent="0.4">
      <c r="A22" s="20"/>
      <c r="B22" s="111" t="s">
        <v>713</v>
      </c>
      <c r="C22" s="112"/>
      <c r="D22" s="113"/>
      <c r="E22" s="114" t="s">
        <v>590</v>
      </c>
      <c r="F22" s="112"/>
      <c r="G22" s="112"/>
      <c r="H22" s="112"/>
      <c r="I22" s="112"/>
      <c r="J22" s="112"/>
      <c r="K22" s="113"/>
      <c r="L22" s="25"/>
    </row>
    <row r="23" spans="1:12" x14ac:dyDescent="0.4">
      <c r="A23" s="20"/>
      <c r="B23" s="111" t="s">
        <v>714</v>
      </c>
      <c r="C23" s="112"/>
      <c r="D23" s="113"/>
      <c r="E23" s="114" t="s">
        <v>591</v>
      </c>
      <c r="F23" s="112"/>
      <c r="G23" s="112"/>
      <c r="H23" s="112"/>
      <c r="I23" s="112"/>
      <c r="J23" s="112"/>
      <c r="K23" s="113"/>
      <c r="L23" s="25"/>
    </row>
    <row r="24" spans="1:12" x14ac:dyDescent="0.4">
      <c r="A24" s="20"/>
      <c r="B24" s="111" t="s">
        <v>715</v>
      </c>
      <c r="C24" s="112"/>
      <c r="D24" s="113"/>
      <c r="E24" s="114" t="s">
        <v>11</v>
      </c>
      <c r="F24" s="112"/>
      <c r="G24" s="112"/>
      <c r="H24" s="112"/>
      <c r="I24" s="112"/>
      <c r="J24" s="112"/>
      <c r="K24" s="113"/>
      <c r="L24" s="25"/>
    </row>
    <row r="25" spans="1:12" s="15" customFormat="1" x14ac:dyDescent="0.4">
      <c r="A25" s="21"/>
      <c r="B25" s="111" t="s">
        <v>716</v>
      </c>
      <c r="C25" s="112"/>
      <c r="D25" s="113"/>
      <c r="E25" s="114" t="s">
        <v>10</v>
      </c>
      <c r="F25" s="112"/>
      <c r="G25" s="112"/>
      <c r="H25" s="112"/>
      <c r="I25" s="112"/>
      <c r="J25" s="112"/>
      <c r="K25" s="113"/>
      <c r="L25" s="25"/>
    </row>
    <row r="26" spans="1:12" x14ac:dyDescent="0.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x14ac:dyDescent="0.4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x14ac:dyDescent="0.4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x14ac:dyDescent="0.4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x14ac:dyDescent="0.4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</sheetData>
  <mergeCells count="27">
    <mergeCell ref="B2:L2"/>
    <mergeCell ref="B23:D23"/>
    <mergeCell ref="B13:D13"/>
    <mergeCell ref="C7:K7"/>
    <mergeCell ref="E13:F13"/>
    <mergeCell ref="E22:K22"/>
    <mergeCell ref="B5:K5"/>
    <mergeCell ref="C9:K9"/>
    <mergeCell ref="B22:D22"/>
    <mergeCell ref="E16:F16"/>
    <mergeCell ref="E21:K21"/>
    <mergeCell ref="G13:K13"/>
    <mergeCell ref="G14:K15"/>
    <mergeCell ref="G16:K16"/>
    <mergeCell ref="B25:D25"/>
    <mergeCell ref="E25:K25"/>
    <mergeCell ref="B24:D24"/>
    <mergeCell ref="B14:D15"/>
    <mergeCell ref="C11:K11"/>
    <mergeCell ref="E14:F15"/>
    <mergeCell ref="B20:D20"/>
    <mergeCell ref="E23:K23"/>
    <mergeCell ref="E24:K24"/>
    <mergeCell ref="B21:D21"/>
    <mergeCell ref="B16:D16"/>
    <mergeCell ref="E20:K20"/>
    <mergeCell ref="B18:K18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showGridLines="0" topLeftCell="A21" zoomScaleNormal="100" workbookViewId="0">
      <selection activeCell="C43" sqref="C43:D43"/>
    </sheetView>
  </sheetViews>
  <sheetFormatPr defaultRowHeight="17.399999999999999" x14ac:dyDescent="0.4"/>
  <cols>
    <col min="1" max="1" width="1.59765625" customWidth="1"/>
    <col min="2" max="2" width="16" customWidth="1"/>
    <col min="3" max="3" width="16.296875" customWidth="1"/>
    <col min="4" max="4" width="20" customWidth="1"/>
    <col min="5" max="5" width="10.8984375" customWidth="1"/>
    <col min="6" max="10" width="11" customWidth="1"/>
    <col min="11" max="11" width="14.69921875" customWidth="1"/>
    <col min="12" max="12" width="14.5" customWidth="1"/>
    <col min="13" max="13" width="4.19921875" customWidth="1"/>
  </cols>
  <sheetData>
    <row r="1" spans="1:13" x14ac:dyDescent="0.4">
      <c r="A1" s="1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16"/>
    </row>
    <row r="2" spans="1:13" ht="33" x14ac:dyDescent="0.7">
      <c r="A2" s="1"/>
      <c r="B2" s="159" t="s">
        <v>12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6"/>
    </row>
    <row r="3" spans="1:13" x14ac:dyDescent="0.4">
      <c r="A3" s="1"/>
      <c r="B3" s="167" t="s">
        <v>13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6"/>
    </row>
    <row r="4" spans="1:13" ht="19.2" x14ac:dyDescent="0.45">
      <c r="A4" s="1"/>
      <c r="B4" s="165" t="s">
        <v>14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6"/>
    </row>
    <row r="5" spans="1:13" x14ac:dyDescent="0.4">
      <c r="A5" s="1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16"/>
    </row>
    <row r="6" spans="1:13" ht="22.05" customHeight="1" x14ac:dyDescent="0.4">
      <c r="A6" s="1"/>
      <c r="B6" s="149" t="s">
        <v>15</v>
      </c>
      <c r="C6" s="131"/>
      <c r="D6" s="132"/>
      <c r="E6" s="26"/>
      <c r="F6" s="149" t="s">
        <v>16</v>
      </c>
      <c r="G6" s="131"/>
      <c r="H6" s="132"/>
      <c r="I6" s="26"/>
      <c r="J6" s="149" t="s">
        <v>17</v>
      </c>
      <c r="K6" s="131"/>
      <c r="L6" s="132"/>
      <c r="M6" s="16"/>
    </row>
    <row r="7" spans="1:13" ht="22.05" customHeight="1" x14ac:dyDescent="0.4">
      <c r="A7" s="1"/>
      <c r="B7" s="141" t="s">
        <v>18</v>
      </c>
      <c r="C7" s="142"/>
      <c r="D7" s="143"/>
      <c r="E7" s="26"/>
      <c r="F7" s="141" t="s">
        <v>19</v>
      </c>
      <c r="G7" s="142"/>
      <c r="H7" s="143"/>
      <c r="I7" s="26"/>
      <c r="J7" s="141" t="s">
        <v>601</v>
      </c>
      <c r="K7" s="142"/>
      <c r="L7" s="143"/>
      <c r="M7" s="16"/>
    </row>
    <row r="8" spans="1:13" ht="22.05" customHeight="1" x14ac:dyDescent="0.4">
      <c r="A8" s="1"/>
      <c r="B8" s="144"/>
      <c r="C8" s="145"/>
      <c r="D8" s="146"/>
      <c r="E8" s="26"/>
      <c r="F8" s="144"/>
      <c r="G8" s="145"/>
      <c r="H8" s="146"/>
      <c r="I8" s="26"/>
      <c r="J8" s="144"/>
      <c r="K8" s="145"/>
      <c r="L8" s="146"/>
      <c r="M8" s="16"/>
    </row>
    <row r="9" spans="1:13" ht="22.05" customHeight="1" x14ac:dyDescent="0.4">
      <c r="A9" s="1"/>
      <c r="B9" s="155" t="s">
        <v>20</v>
      </c>
      <c r="C9" s="131"/>
      <c r="D9" s="132"/>
      <c r="E9" s="26"/>
      <c r="F9" s="155" t="s">
        <v>21</v>
      </c>
      <c r="G9" s="131"/>
      <c r="H9" s="132"/>
      <c r="I9" s="26"/>
      <c r="J9" s="155" t="s">
        <v>602</v>
      </c>
      <c r="K9" s="131"/>
      <c r="L9" s="132"/>
      <c r="M9" s="16"/>
    </row>
    <row r="10" spans="1:13" x14ac:dyDescent="0.4">
      <c r="A10" s="1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16"/>
    </row>
    <row r="11" spans="1:13" x14ac:dyDescent="0.4">
      <c r="A11" s="1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16"/>
    </row>
    <row r="12" spans="1:13" ht="20.399999999999999" x14ac:dyDescent="0.45">
      <c r="A12" s="1"/>
      <c r="B12" s="133" t="s">
        <v>603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6"/>
    </row>
    <row r="13" spans="1:13" x14ac:dyDescent="0.4">
      <c r="A13" s="1"/>
      <c r="B13" s="157" t="s">
        <v>45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6"/>
    </row>
    <row r="14" spans="1:13" x14ac:dyDescent="0.4">
      <c r="A14" s="1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16"/>
    </row>
    <row r="15" spans="1:13" ht="24" customHeight="1" x14ac:dyDescent="0.4">
      <c r="A15" s="1"/>
      <c r="B15" s="152" t="s">
        <v>46</v>
      </c>
      <c r="C15" s="132"/>
      <c r="D15" s="152" t="s">
        <v>47</v>
      </c>
      <c r="E15" s="132"/>
      <c r="F15" s="27" t="s">
        <v>48</v>
      </c>
      <c r="G15" s="152" t="s">
        <v>49</v>
      </c>
      <c r="H15" s="131"/>
      <c r="I15" s="131"/>
      <c r="J15" s="131"/>
      <c r="K15" s="131"/>
      <c r="L15" s="132"/>
      <c r="M15" s="16"/>
    </row>
    <row r="16" spans="1:13" ht="30" customHeight="1" x14ac:dyDescent="0.4">
      <c r="A16" s="1"/>
      <c r="B16" s="166" t="s">
        <v>50</v>
      </c>
      <c r="C16" s="132"/>
      <c r="D16" s="153" t="s">
        <v>51</v>
      </c>
      <c r="E16" s="132"/>
      <c r="F16" s="32" t="s">
        <v>52</v>
      </c>
      <c r="G16" s="130" t="s">
        <v>53</v>
      </c>
      <c r="H16" s="131"/>
      <c r="I16" s="131"/>
      <c r="J16" s="131"/>
      <c r="K16" s="131"/>
      <c r="L16" s="132"/>
      <c r="M16" s="16"/>
    </row>
    <row r="17" spans="1:16" ht="30" customHeight="1" x14ac:dyDescent="0.4">
      <c r="A17" s="1"/>
      <c r="B17" s="160" t="s">
        <v>54</v>
      </c>
      <c r="C17" s="132"/>
      <c r="D17" s="153" t="s">
        <v>55</v>
      </c>
      <c r="E17" s="132"/>
      <c r="F17" s="32" t="s">
        <v>56</v>
      </c>
      <c r="G17" s="130" t="s">
        <v>57</v>
      </c>
      <c r="H17" s="131"/>
      <c r="I17" s="131"/>
      <c r="J17" s="131"/>
      <c r="K17" s="131"/>
      <c r="L17" s="132"/>
      <c r="M17" s="16"/>
    </row>
    <row r="18" spans="1:16" ht="30" customHeight="1" x14ac:dyDescent="0.4">
      <c r="A18" s="1"/>
      <c r="B18" s="163" t="s">
        <v>58</v>
      </c>
      <c r="C18" s="132"/>
      <c r="D18" s="153" t="s">
        <v>59</v>
      </c>
      <c r="E18" s="132"/>
      <c r="F18" s="32" t="s">
        <v>60</v>
      </c>
      <c r="G18" s="130" t="s">
        <v>61</v>
      </c>
      <c r="H18" s="131"/>
      <c r="I18" s="131"/>
      <c r="J18" s="131"/>
      <c r="K18" s="131"/>
      <c r="L18" s="132"/>
      <c r="M18" s="16"/>
    </row>
    <row r="19" spans="1:16" ht="30" customHeight="1" x14ac:dyDescent="0.4">
      <c r="A19" s="1"/>
      <c r="B19" s="156" t="s">
        <v>62</v>
      </c>
      <c r="C19" s="132"/>
      <c r="D19" s="153" t="s">
        <v>63</v>
      </c>
      <c r="E19" s="132"/>
      <c r="F19" s="32" t="s">
        <v>64</v>
      </c>
      <c r="G19" s="130" t="s">
        <v>65</v>
      </c>
      <c r="H19" s="131"/>
      <c r="I19" s="131"/>
      <c r="J19" s="131"/>
      <c r="K19" s="131"/>
      <c r="L19" s="132"/>
      <c r="M19" s="16"/>
    </row>
    <row r="20" spans="1:16" ht="30" customHeight="1" x14ac:dyDescent="0.4">
      <c r="A20" s="1"/>
      <c r="B20" s="150" t="s">
        <v>604</v>
      </c>
      <c r="C20" s="132"/>
      <c r="D20" s="164" t="s">
        <v>66</v>
      </c>
      <c r="E20" s="132"/>
      <c r="F20" s="33" t="s">
        <v>67</v>
      </c>
      <c r="G20" s="162" t="s">
        <v>68</v>
      </c>
      <c r="H20" s="131"/>
      <c r="I20" s="131"/>
      <c r="J20" s="131"/>
      <c r="K20" s="131"/>
      <c r="L20" s="132"/>
      <c r="M20" s="16"/>
    </row>
    <row r="21" spans="1:16" x14ac:dyDescent="0.4">
      <c r="A21" s="1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16"/>
    </row>
    <row r="22" spans="1:16" ht="20.399999999999999" x14ac:dyDescent="0.45">
      <c r="A22" s="1"/>
      <c r="B22" s="133" t="s">
        <v>605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6"/>
    </row>
    <row r="23" spans="1:16" x14ac:dyDescent="0.4">
      <c r="A23" s="1"/>
      <c r="B23" s="157" t="s">
        <v>69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6"/>
    </row>
    <row r="24" spans="1:16" x14ac:dyDescent="0.4">
      <c r="A24" s="1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16"/>
    </row>
    <row r="25" spans="1:16" ht="28.05" customHeight="1" x14ac:dyDescent="0.4">
      <c r="A25" s="1"/>
      <c r="B25" s="38" t="s">
        <v>46</v>
      </c>
      <c r="C25" s="151" t="s">
        <v>70</v>
      </c>
      <c r="D25" s="137"/>
      <c r="E25" s="38" t="s">
        <v>71</v>
      </c>
      <c r="F25" s="38" t="s">
        <v>72</v>
      </c>
      <c r="G25" s="38" t="s">
        <v>73</v>
      </c>
      <c r="H25" s="38" t="s">
        <v>74</v>
      </c>
      <c r="I25" s="38" t="s">
        <v>75</v>
      </c>
      <c r="J25" s="151" t="s">
        <v>76</v>
      </c>
      <c r="K25" s="148"/>
      <c r="L25" s="137"/>
      <c r="M25" s="16"/>
      <c r="O25" s="14"/>
      <c r="P25" s="14"/>
    </row>
    <row r="26" spans="1:16" ht="22.05" customHeight="1" x14ac:dyDescent="0.4">
      <c r="A26" s="1"/>
      <c r="B26" s="39" t="s">
        <v>77</v>
      </c>
      <c r="C26" s="136" t="s">
        <v>29</v>
      </c>
      <c r="D26" s="137"/>
      <c r="E26" s="52">
        <v>8500</v>
      </c>
      <c r="F26" s="52">
        <v>8500</v>
      </c>
      <c r="G26" s="54">
        <v>8500</v>
      </c>
      <c r="H26" s="55">
        <v>0.36399999999999999</v>
      </c>
      <c r="I26" s="41" t="s">
        <v>78</v>
      </c>
      <c r="J26" s="147" t="s">
        <v>79</v>
      </c>
      <c r="K26" s="148"/>
      <c r="L26" s="137"/>
      <c r="M26" s="16"/>
    </row>
    <row r="27" spans="1:16" ht="22.05" customHeight="1" x14ac:dyDescent="0.4">
      <c r="A27" s="1"/>
      <c r="B27" s="39" t="s">
        <v>77</v>
      </c>
      <c r="C27" s="136" t="s">
        <v>34</v>
      </c>
      <c r="D27" s="137"/>
      <c r="E27" s="52">
        <v>3842</v>
      </c>
      <c r="F27" s="52">
        <v>6000</v>
      </c>
      <c r="G27" s="54">
        <v>4921</v>
      </c>
      <c r="H27" s="55">
        <v>0.21099999999999999</v>
      </c>
      <c r="I27" s="42" t="s">
        <v>80</v>
      </c>
      <c r="J27" s="147" t="s">
        <v>81</v>
      </c>
      <c r="K27" s="148"/>
      <c r="L27" s="137"/>
      <c r="M27" s="16"/>
    </row>
    <row r="28" spans="1:16" ht="22.05" customHeight="1" x14ac:dyDescent="0.4">
      <c r="A28" s="1"/>
      <c r="B28" s="39" t="s">
        <v>77</v>
      </c>
      <c r="C28" s="136" t="s">
        <v>82</v>
      </c>
      <c r="D28" s="137"/>
      <c r="E28" s="51">
        <v>150</v>
      </c>
      <c r="F28" s="51">
        <v>350</v>
      </c>
      <c r="G28" s="53">
        <v>250</v>
      </c>
      <c r="H28" s="55">
        <v>1.0999999999999999E-2</v>
      </c>
      <c r="I28" s="43" t="s">
        <v>83</v>
      </c>
      <c r="J28" s="147" t="s">
        <v>84</v>
      </c>
      <c r="K28" s="148"/>
      <c r="L28" s="137"/>
      <c r="M28" s="16"/>
    </row>
    <row r="29" spans="1:16" ht="22.05" customHeight="1" x14ac:dyDescent="0.4">
      <c r="A29" s="1"/>
      <c r="B29" s="39" t="s">
        <v>77</v>
      </c>
      <c r="C29" s="136" t="s">
        <v>85</v>
      </c>
      <c r="D29" s="137"/>
      <c r="E29" s="51">
        <v>150</v>
      </c>
      <c r="F29" s="51">
        <v>300</v>
      </c>
      <c r="G29" s="53">
        <v>225</v>
      </c>
      <c r="H29" s="55">
        <v>0.01</v>
      </c>
      <c r="I29" s="43" t="s">
        <v>83</v>
      </c>
      <c r="J29" s="147" t="s">
        <v>87</v>
      </c>
      <c r="K29" s="148"/>
      <c r="L29" s="137"/>
      <c r="M29" s="16"/>
    </row>
    <row r="30" spans="1:16" ht="22.05" customHeight="1" x14ac:dyDescent="0.4">
      <c r="A30" s="1"/>
      <c r="B30" s="39" t="s">
        <v>77</v>
      </c>
      <c r="C30" s="136" t="s">
        <v>88</v>
      </c>
      <c r="D30" s="137"/>
      <c r="E30" s="51">
        <v>200</v>
      </c>
      <c r="F30" s="51">
        <v>400</v>
      </c>
      <c r="G30" s="53">
        <v>300</v>
      </c>
      <c r="H30" s="55">
        <v>1.2999999999999999E-2</v>
      </c>
      <c r="I30" s="43" t="s">
        <v>83</v>
      </c>
      <c r="J30" s="147" t="s">
        <v>90</v>
      </c>
      <c r="K30" s="148"/>
      <c r="L30" s="137"/>
      <c r="M30" s="16"/>
    </row>
    <row r="31" spans="1:16" ht="22.05" customHeight="1" x14ac:dyDescent="0.4">
      <c r="A31" s="1"/>
      <c r="B31" s="39" t="s">
        <v>77</v>
      </c>
      <c r="C31" s="136" t="s">
        <v>91</v>
      </c>
      <c r="D31" s="137"/>
      <c r="E31" s="51">
        <v>50</v>
      </c>
      <c r="F31" s="51">
        <v>150</v>
      </c>
      <c r="G31" s="53">
        <v>100</v>
      </c>
      <c r="H31" s="55">
        <v>4.0000000000000001E-3</v>
      </c>
      <c r="I31" s="44" t="s">
        <v>92</v>
      </c>
      <c r="J31" s="147" t="s">
        <v>93</v>
      </c>
      <c r="K31" s="148"/>
      <c r="L31" s="137"/>
      <c r="M31" s="16"/>
    </row>
    <row r="32" spans="1:16" ht="22.05" customHeight="1" x14ac:dyDescent="0.4">
      <c r="A32" s="1"/>
      <c r="B32" s="39" t="s">
        <v>77</v>
      </c>
      <c r="C32" s="136" t="s">
        <v>94</v>
      </c>
      <c r="D32" s="137"/>
      <c r="E32" s="51">
        <v>50</v>
      </c>
      <c r="F32" s="51">
        <v>120</v>
      </c>
      <c r="G32" s="53">
        <v>85</v>
      </c>
      <c r="H32" s="55">
        <v>4.0000000000000001E-3</v>
      </c>
      <c r="I32" s="44" t="s">
        <v>92</v>
      </c>
      <c r="J32" s="147" t="s">
        <v>95</v>
      </c>
      <c r="K32" s="148"/>
      <c r="L32" s="137"/>
      <c r="M32" s="16"/>
    </row>
    <row r="33" spans="1:16" ht="22.05" customHeight="1" x14ac:dyDescent="0.4">
      <c r="A33" s="1"/>
      <c r="B33" s="45" t="s">
        <v>96</v>
      </c>
      <c r="C33" s="136" t="s">
        <v>31</v>
      </c>
      <c r="D33" s="137"/>
      <c r="E33" s="52">
        <v>2500</v>
      </c>
      <c r="F33" s="52">
        <v>4000</v>
      </c>
      <c r="G33" s="54">
        <v>3250</v>
      </c>
      <c r="H33" s="55">
        <v>0.13900000000000001</v>
      </c>
      <c r="I33" s="42" t="s">
        <v>80</v>
      </c>
      <c r="J33" s="147" t="s">
        <v>98</v>
      </c>
      <c r="K33" s="148"/>
      <c r="L33" s="137"/>
      <c r="M33" s="16"/>
    </row>
    <row r="34" spans="1:16" ht="22.05" customHeight="1" x14ac:dyDescent="0.4">
      <c r="A34" s="1"/>
      <c r="B34" s="45" t="s">
        <v>96</v>
      </c>
      <c r="C34" s="136" t="s">
        <v>40</v>
      </c>
      <c r="D34" s="137"/>
      <c r="E34" s="51">
        <v>300</v>
      </c>
      <c r="F34" s="51">
        <v>500</v>
      </c>
      <c r="G34" s="53">
        <v>400</v>
      </c>
      <c r="H34" s="55">
        <v>1.7000000000000001E-2</v>
      </c>
      <c r="I34" s="43" t="s">
        <v>83</v>
      </c>
      <c r="J34" s="147" t="s">
        <v>99</v>
      </c>
      <c r="K34" s="148"/>
      <c r="L34" s="137"/>
      <c r="M34" s="16"/>
    </row>
    <row r="35" spans="1:16" ht="22.05" customHeight="1" x14ac:dyDescent="0.4">
      <c r="A35" s="1"/>
      <c r="B35" s="45" t="s">
        <v>96</v>
      </c>
      <c r="C35" s="136" t="s">
        <v>100</v>
      </c>
      <c r="D35" s="137"/>
      <c r="E35" s="51">
        <v>150</v>
      </c>
      <c r="F35" s="51">
        <v>300</v>
      </c>
      <c r="G35" s="53">
        <v>225</v>
      </c>
      <c r="H35" s="55">
        <v>0.01</v>
      </c>
      <c r="I35" s="43" t="s">
        <v>83</v>
      </c>
      <c r="J35" s="147" t="s">
        <v>101</v>
      </c>
      <c r="K35" s="148"/>
      <c r="L35" s="137"/>
      <c r="M35" s="16"/>
      <c r="O35" s="14"/>
      <c r="P35" s="14"/>
    </row>
    <row r="36" spans="1:16" ht="22.05" customHeight="1" x14ac:dyDescent="0.4">
      <c r="A36" s="1"/>
      <c r="B36" s="45" t="s">
        <v>96</v>
      </c>
      <c r="C36" s="136" t="s">
        <v>103</v>
      </c>
      <c r="D36" s="137"/>
      <c r="E36" s="51">
        <v>100</v>
      </c>
      <c r="F36" s="51">
        <v>200</v>
      </c>
      <c r="G36" s="53">
        <v>150</v>
      </c>
      <c r="H36" s="55">
        <v>6.0000000000000001E-3</v>
      </c>
      <c r="I36" s="44" t="s">
        <v>92</v>
      </c>
      <c r="J36" s="147" t="s">
        <v>104</v>
      </c>
      <c r="K36" s="148"/>
      <c r="L36" s="137"/>
      <c r="M36" s="16"/>
    </row>
    <row r="37" spans="1:16" ht="22.05" customHeight="1" x14ac:dyDescent="0.4">
      <c r="A37" s="1"/>
      <c r="B37" s="45" t="s">
        <v>96</v>
      </c>
      <c r="C37" s="136" t="s">
        <v>105</v>
      </c>
      <c r="D37" s="137"/>
      <c r="E37" s="51">
        <v>100</v>
      </c>
      <c r="F37" s="51">
        <v>200</v>
      </c>
      <c r="G37" s="53">
        <v>150</v>
      </c>
      <c r="H37" s="55">
        <v>6.0000000000000001E-3</v>
      </c>
      <c r="I37" s="43" t="s">
        <v>83</v>
      </c>
      <c r="J37" s="147" t="s">
        <v>106</v>
      </c>
      <c r="K37" s="148"/>
      <c r="L37" s="137"/>
      <c r="M37" s="16"/>
    </row>
    <row r="38" spans="1:16" ht="22.05" customHeight="1" x14ac:dyDescent="0.4">
      <c r="A38" s="1"/>
      <c r="B38" s="46" t="s">
        <v>107</v>
      </c>
      <c r="C38" s="136" t="s">
        <v>108</v>
      </c>
      <c r="D38" s="137"/>
      <c r="E38" s="51">
        <v>300</v>
      </c>
      <c r="F38" s="51">
        <v>500</v>
      </c>
      <c r="G38" s="53">
        <v>400</v>
      </c>
      <c r="H38" s="55">
        <v>1.7000000000000001E-2</v>
      </c>
      <c r="I38" s="43" t="s">
        <v>83</v>
      </c>
      <c r="J38" s="147" t="s">
        <v>109</v>
      </c>
      <c r="K38" s="148"/>
      <c r="L38" s="137"/>
      <c r="M38" s="16"/>
    </row>
    <row r="39" spans="1:16" ht="22.05" customHeight="1" x14ac:dyDescent="0.4">
      <c r="A39" s="1"/>
      <c r="B39" s="46" t="s">
        <v>107</v>
      </c>
      <c r="C39" s="136" t="s">
        <v>110</v>
      </c>
      <c r="D39" s="137"/>
      <c r="E39" s="51">
        <v>100</v>
      </c>
      <c r="F39" s="51">
        <v>250</v>
      </c>
      <c r="G39" s="53">
        <v>175</v>
      </c>
      <c r="H39" s="55">
        <v>8.0000000000000002E-3</v>
      </c>
      <c r="I39" s="44" t="s">
        <v>92</v>
      </c>
      <c r="J39" s="147" t="s">
        <v>111</v>
      </c>
      <c r="K39" s="148"/>
      <c r="L39" s="137"/>
      <c r="M39" s="16"/>
    </row>
    <row r="40" spans="1:16" ht="22.05" customHeight="1" x14ac:dyDescent="0.4">
      <c r="A40" s="1"/>
      <c r="B40" s="46" t="s">
        <v>107</v>
      </c>
      <c r="C40" s="136" t="s">
        <v>112</v>
      </c>
      <c r="D40" s="137"/>
      <c r="E40" s="51">
        <v>100</v>
      </c>
      <c r="F40" s="51">
        <v>200</v>
      </c>
      <c r="G40" s="53">
        <v>150</v>
      </c>
      <c r="H40" s="55">
        <v>6.0000000000000001E-3</v>
      </c>
      <c r="I40" s="44" t="s">
        <v>92</v>
      </c>
      <c r="J40" s="147" t="s">
        <v>113</v>
      </c>
      <c r="K40" s="148"/>
      <c r="L40" s="137"/>
      <c r="M40" s="16"/>
    </row>
    <row r="41" spans="1:16" ht="22.05" customHeight="1" x14ac:dyDescent="0.4">
      <c r="A41" s="1"/>
      <c r="B41" s="46" t="s">
        <v>107</v>
      </c>
      <c r="C41" s="136" t="s">
        <v>114</v>
      </c>
      <c r="D41" s="137"/>
      <c r="E41" s="51">
        <v>50</v>
      </c>
      <c r="F41" s="51">
        <v>120</v>
      </c>
      <c r="G41" s="53">
        <v>85</v>
      </c>
      <c r="H41" s="55">
        <v>4.0000000000000001E-3</v>
      </c>
      <c r="I41" s="44" t="s">
        <v>92</v>
      </c>
      <c r="J41" s="147" t="s">
        <v>115</v>
      </c>
      <c r="K41" s="148"/>
      <c r="L41" s="137"/>
      <c r="M41" s="16"/>
    </row>
    <row r="42" spans="1:16" ht="22.05" customHeight="1" x14ac:dyDescent="0.4">
      <c r="A42" s="1"/>
      <c r="B42" s="46" t="s">
        <v>107</v>
      </c>
      <c r="C42" s="136" t="s">
        <v>116</v>
      </c>
      <c r="D42" s="137"/>
      <c r="E42" s="51">
        <v>30</v>
      </c>
      <c r="F42" s="51">
        <v>80</v>
      </c>
      <c r="G42" s="53">
        <v>55</v>
      </c>
      <c r="H42" s="55">
        <v>2E-3</v>
      </c>
      <c r="I42" s="44" t="s">
        <v>92</v>
      </c>
      <c r="J42" s="147" t="s">
        <v>117</v>
      </c>
      <c r="K42" s="148"/>
      <c r="L42" s="137"/>
      <c r="M42" s="16"/>
    </row>
    <row r="43" spans="1:16" ht="22.05" customHeight="1" x14ac:dyDescent="0.4">
      <c r="A43" s="1"/>
      <c r="B43" s="47" t="s">
        <v>118</v>
      </c>
      <c r="C43" s="136" t="s">
        <v>119</v>
      </c>
      <c r="D43" s="137"/>
      <c r="E43" s="52">
        <v>1500</v>
      </c>
      <c r="F43" s="52">
        <v>2500</v>
      </c>
      <c r="G43" s="54">
        <v>2000</v>
      </c>
      <c r="H43" s="55">
        <v>8.5999999999999993E-2</v>
      </c>
      <c r="I43" s="42" t="s">
        <v>80</v>
      </c>
      <c r="J43" s="147" t="s">
        <v>121</v>
      </c>
      <c r="K43" s="148"/>
      <c r="L43" s="137"/>
      <c r="M43" s="16"/>
    </row>
    <row r="44" spans="1:16" ht="22.05" customHeight="1" x14ac:dyDescent="0.4">
      <c r="A44" s="1"/>
      <c r="B44" s="47" t="s">
        <v>118</v>
      </c>
      <c r="C44" s="136" t="s">
        <v>41</v>
      </c>
      <c r="D44" s="137"/>
      <c r="E44" s="52">
        <v>1000</v>
      </c>
      <c r="F44" s="52">
        <v>1500</v>
      </c>
      <c r="G44" s="54">
        <v>1250</v>
      </c>
      <c r="H44" s="55">
        <v>5.3999999999999999E-2</v>
      </c>
      <c r="I44" s="42" t="s">
        <v>80</v>
      </c>
      <c r="J44" s="147" t="s">
        <v>123</v>
      </c>
      <c r="K44" s="148"/>
      <c r="L44" s="137"/>
      <c r="M44" s="16"/>
    </row>
    <row r="45" spans="1:16" ht="22.05" customHeight="1" x14ac:dyDescent="0.4">
      <c r="A45" s="1"/>
      <c r="B45" s="47" t="s">
        <v>118</v>
      </c>
      <c r="C45" s="136" t="s">
        <v>124</v>
      </c>
      <c r="D45" s="137"/>
      <c r="E45" s="51">
        <v>150</v>
      </c>
      <c r="F45" s="51">
        <v>300</v>
      </c>
      <c r="G45" s="53">
        <v>225</v>
      </c>
      <c r="H45" s="55">
        <v>0.01</v>
      </c>
      <c r="I45" s="43" t="s">
        <v>83</v>
      </c>
      <c r="J45" s="147" t="s">
        <v>125</v>
      </c>
      <c r="K45" s="148"/>
      <c r="L45" s="137"/>
      <c r="M45" s="16"/>
    </row>
    <row r="46" spans="1:16" ht="22.05" customHeight="1" x14ac:dyDescent="0.4">
      <c r="A46" s="1"/>
      <c r="B46" s="47" t="s">
        <v>118</v>
      </c>
      <c r="C46" s="136" t="s">
        <v>126</v>
      </c>
      <c r="D46" s="137"/>
      <c r="E46" s="51">
        <v>100</v>
      </c>
      <c r="F46" s="51">
        <v>200</v>
      </c>
      <c r="G46" s="53">
        <v>150</v>
      </c>
      <c r="H46" s="55">
        <v>6.0000000000000001E-3</v>
      </c>
      <c r="I46" s="43" t="s">
        <v>83</v>
      </c>
      <c r="J46" s="147" t="s">
        <v>127</v>
      </c>
      <c r="K46" s="148"/>
      <c r="L46" s="137"/>
      <c r="M46" s="16"/>
    </row>
    <row r="47" spans="1:16" ht="22.05" customHeight="1" x14ac:dyDescent="0.4">
      <c r="A47" s="1"/>
      <c r="B47" s="47" t="s">
        <v>118</v>
      </c>
      <c r="C47" s="136" t="s">
        <v>128</v>
      </c>
      <c r="D47" s="137"/>
      <c r="E47" s="51">
        <v>100</v>
      </c>
      <c r="F47" s="51">
        <v>200</v>
      </c>
      <c r="G47" s="53">
        <v>150</v>
      </c>
      <c r="H47" s="55">
        <v>6.0000000000000001E-3</v>
      </c>
      <c r="I47" s="44" t="s">
        <v>92</v>
      </c>
      <c r="J47" s="147" t="s">
        <v>129</v>
      </c>
      <c r="K47" s="148"/>
      <c r="L47" s="137"/>
      <c r="M47" s="16"/>
    </row>
    <row r="48" spans="1:16" ht="22.05" customHeight="1" x14ac:dyDescent="0.4">
      <c r="A48" s="1"/>
      <c r="B48" s="47" t="s">
        <v>118</v>
      </c>
      <c r="C48" s="136" t="s">
        <v>130</v>
      </c>
      <c r="D48" s="137"/>
      <c r="E48" s="51">
        <v>80</v>
      </c>
      <c r="F48" s="51">
        <v>180</v>
      </c>
      <c r="G48" s="53">
        <v>130</v>
      </c>
      <c r="H48" s="55">
        <v>6.0000000000000001E-3</v>
      </c>
      <c r="I48" s="44" t="s">
        <v>92</v>
      </c>
      <c r="J48" s="147" t="s">
        <v>129</v>
      </c>
      <c r="K48" s="148"/>
      <c r="L48" s="137"/>
      <c r="M48" s="16"/>
    </row>
    <row r="49" spans="1:13" ht="25.95" customHeight="1" x14ac:dyDescent="0.4">
      <c r="A49" s="1"/>
      <c r="B49" s="48" t="s">
        <v>131</v>
      </c>
      <c r="C49" s="161" t="s">
        <v>20</v>
      </c>
      <c r="D49" s="137"/>
      <c r="E49" s="49" t="s">
        <v>132</v>
      </c>
      <c r="F49" s="49" t="s">
        <v>133</v>
      </c>
      <c r="G49" s="40" t="s">
        <v>134</v>
      </c>
      <c r="H49" s="50" t="s">
        <v>135</v>
      </c>
      <c r="I49" s="49" t="s">
        <v>25</v>
      </c>
      <c r="J49" s="161" t="s">
        <v>136</v>
      </c>
      <c r="K49" s="148"/>
      <c r="L49" s="137"/>
      <c r="M49" s="16"/>
    </row>
    <row r="50" spans="1:13" x14ac:dyDescent="0.4">
      <c r="A50" s="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16"/>
    </row>
    <row r="51" spans="1:13" ht="20.399999999999999" x14ac:dyDescent="0.45">
      <c r="A51" s="1"/>
      <c r="B51" s="133" t="s">
        <v>606</v>
      </c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6"/>
    </row>
    <row r="52" spans="1:13" x14ac:dyDescent="0.4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16"/>
    </row>
    <row r="53" spans="1:13" ht="25.95" customHeight="1" x14ac:dyDescent="0.4">
      <c r="A53" s="1"/>
      <c r="B53" s="150" t="s">
        <v>137</v>
      </c>
      <c r="C53" s="132"/>
      <c r="D53" s="130" t="s">
        <v>138</v>
      </c>
      <c r="E53" s="131"/>
      <c r="F53" s="131"/>
      <c r="G53" s="131"/>
      <c r="H53" s="131"/>
      <c r="I53" s="131"/>
      <c r="J53" s="131"/>
      <c r="K53" s="131"/>
      <c r="L53" s="132"/>
      <c r="M53" s="16"/>
    </row>
    <row r="54" spans="1:13" ht="25.95" customHeight="1" x14ac:dyDescent="0.4">
      <c r="A54" s="1"/>
      <c r="B54" s="150" t="s">
        <v>139</v>
      </c>
      <c r="C54" s="132"/>
      <c r="D54" s="130" t="s">
        <v>140</v>
      </c>
      <c r="E54" s="131"/>
      <c r="F54" s="131"/>
      <c r="G54" s="131"/>
      <c r="H54" s="131"/>
      <c r="I54" s="131"/>
      <c r="J54" s="131"/>
      <c r="K54" s="131"/>
      <c r="L54" s="132"/>
      <c r="M54" s="16"/>
    </row>
    <row r="55" spans="1:13" ht="25.95" customHeight="1" x14ac:dyDescent="0.4">
      <c r="A55" s="1"/>
      <c r="B55" s="150" t="s">
        <v>141</v>
      </c>
      <c r="C55" s="132"/>
      <c r="D55" s="130" t="s">
        <v>607</v>
      </c>
      <c r="E55" s="131"/>
      <c r="F55" s="131"/>
      <c r="G55" s="131"/>
      <c r="H55" s="131"/>
      <c r="I55" s="131"/>
      <c r="J55" s="131"/>
      <c r="K55" s="131"/>
      <c r="L55" s="132"/>
      <c r="M55" s="16"/>
    </row>
    <row r="56" spans="1:13" x14ac:dyDescent="0.4">
      <c r="A56" s="16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16"/>
    </row>
    <row r="57" spans="1:13" ht="20.399999999999999" x14ac:dyDescent="0.45">
      <c r="A57" s="1"/>
      <c r="B57" s="133" t="s">
        <v>608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6"/>
    </row>
    <row r="58" spans="1:13" x14ac:dyDescent="0.4">
      <c r="A58" s="1"/>
      <c r="B58" s="135" t="s">
        <v>142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6"/>
    </row>
    <row r="59" spans="1:13" ht="8.4" customHeight="1" x14ac:dyDescent="0.4">
      <c r="A59" s="1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6"/>
    </row>
    <row r="60" spans="1:13" ht="24" customHeight="1" x14ac:dyDescent="0.4">
      <c r="A60" s="1"/>
      <c r="B60" s="27" t="s">
        <v>143</v>
      </c>
      <c r="C60" s="27" t="s">
        <v>26</v>
      </c>
      <c r="D60" s="27" t="s">
        <v>22</v>
      </c>
      <c r="E60" s="27" t="s">
        <v>144</v>
      </c>
      <c r="F60" s="27" t="s">
        <v>145</v>
      </c>
      <c r="G60" s="152" t="s">
        <v>146</v>
      </c>
      <c r="H60" s="131"/>
      <c r="I60" s="131"/>
      <c r="J60" s="131"/>
      <c r="K60" s="132"/>
      <c r="L60" s="27" t="s">
        <v>75</v>
      </c>
      <c r="M60" s="16"/>
    </row>
    <row r="61" spans="1:13" ht="24" customHeight="1" x14ac:dyDescent="0.4">
      <c r="A61" s="1"/>
      <c r="B61" s="30" t="s">
        <v>147</v>
      </c>
      <c r="C61" s="56" t="s">
        <v>35</v>
      </c>
      <c r="D61" s="29" t="s">
        <v>36</v>
      </c>
      <c r="E61" s="61">
        <v>7.6200000000000004E-2</v>
      </c>
      <c r="F61" s="63">
        <v>1776</v>
      </c>
      <c r="G61" s="130" t="s">
        <v>148</v>
      </c>
      <c r="H61" s="138"/>
      <c r="I61" s="138"/>
      <c r="J61" s="138"/>
      <c r="K61" s="139"/>
      <c r="L61" s="57" t="s">
        <v>80</v>
      </c>
      <c r="M61" s="16"/>
    </row>
    <row r="62" spans="1:13" ht="24" customHeight="1" x14ac:dyDescent="0.4">
      <c r="A62" s="1"/>
      <c r="B62" s="30" t="s">
        <v>149</v>
      </c>
      <c r="C62" s="56" t="s">
        <v>32</v>
      </c>
      <c r="D62" s="29" t="s">
        <v>33</v>
      </c>
      <c r="E62" s="61">
        <v>6.8500000000000005E-2</v>
      </c>
      <c r="F62" s="63">
        <v>1598</v>
      </c>
      <c r="G62" s="130" t="s">
        <v>150</v>
      </c>
      <c r="H62" s="138"/>
      <c r="I62" s="138"/>
      <c r="J62" s="138"/>
      <c r="K62" s="139"/>
      <c r="L62" s="57" t="s">
        <v>80</v>
      </c>
      <c r="M62" s="16"/>
    </row>
    <row r="63" spans="1:13" ht="24" customHeight="1" x14ac:dyDescent="0.4">
      <c r="A63" s="1"/>
      <c r="B63" s="30" t="s">
        <v>151</v>
      </c>
      <c r="C63" s="56" t="s">
        <v>152</v>
      </c>
      <c r="D63" s="29" t="s">
        <v>23</v>
      </c>
      <c r="E63" s="61">
        <v>6.3299999999999995E-2</v>
      </c>
      <c r="F63" s="63">
        <v>1476</v>
      </c>
      <c r="G63" s="130" t="s">
        <v>153</v>
      </c>
      <c r="H63" s="138"/>
      <c r="I63" s="138"/>
      <c r="J63" s="138"/>
      <c r="K63" s="139"/>
      <c r="L63" s="58" t="s">
        <v>92</v>
      </c>
      <c r="M63" s="16"/>
    </row>
    <row r="64" spans="1:13" ht="24" customHeight="1" x14ac:dyDescent="0.4">
      <c r="A64" s="1"/>
      <c r="B64" s="30" t="s">
        <v>154</v>
      </c>
      <c r="C64" s="56" t="s">
        <v>37</v>
      </c>
      <c r="D64" s="29" t="s">
        <v>23</v>
      </c>
      <c r="E64" s="61">
        <v>5.9499999999999997E-2</v>
      </c>
      <c r="F64" s="63">
        <v>1388</v>
      </c>
      <c r="G64" s="130" t="s">
        <v>155</v>
      </c>
      <c r="H64" s="138"/>
      <c r="I64" s="138"/>
      <c r="J64" s="138"/>
      <c r="K64" s="139"/>
      <c r="L64" s="57" t="s">
        <v>80</v>
      </c>
      <c r="M64" s="16"/>
    </row>
    <row r="65" spans="1:13" ht="24" customHeight="1" x14ac:dyDescent="0.4">
      <c r="A65" s="1"/>
      <c r="B65" s="30" t="s">
        <v>156</v>
      </c>
      <c r="C65" s="56" t="s">
        <v>157</v>
      </c>
      <c r="D65" s="29" t="s">
        <v>23</v>
      </c>
      <c r="E65" s="61">
        <v>5.4699999999999999E-2</v>
      </c>
      <c r="F65" s="63">
        <v>1275</v>
      </c>
      <c r="G65" s="130" t="s">
        <v>158</v>
      </c>
      <c r="H65" s="138"/>
      <c r="I65" s="138"/>
      <c r="J65" s="138"/>
      <c r="K65" s="139"/>
      <c r="L65" s="58" t="s">
        <v>92</v>
      </c>
      <c r="M65" s="16"/>
    </row>
    <row r="66" spans="1:13" ht="24" customHeight="1" x14ac:dyDescent="0.4">
      <c r="A66" s="1"/>
      <c r="B66" s="30" t="s">
        <v>159</v>
      </c>
      <c r="C66" s="56" t="s">
        <v>39</v>
      </c>
      <c r="D66" s="29" t="s">
        <v>36</v>
      </c>
      <c r="E66" s="61">
        <v>3.4299999999999997E-2</v>
      </c>
      <c r="F66" s="62">
        <v>800</v>
      </c>
      <c r="G66" s="130" t="s">
        <v>161</v>
      </c>
      <c r="H66" s="138"/>
      <c r="I66" s="138"/>
      <c r="J66" s="138"/>
      <c r="K66" s="139"/>
      <c r="L66" s="59" t="s">
        <v>83</v>
      </c>
      <c r="M66" s="16"/>
    </row>
    <row r="67" spans="1:13" ht="24" customHeight="1" x14ac:dyDescent="0.4">
      <c r="A67" s="1"/>
      <c r="B67" s="30" t="s">
        <v>162</v>
      </c>
      <c r="C67" s="56" t="s">
        <v>42</v>
      </c>
      <c r="D67" s="29" t="s">
        <v>43</v>
      </c>
      <c r="E67" s="61">
        <v>3.2199999999999999E-2</v>
      </c>
      <c r="F67" s="62">
        <v>750</v>
      </c>
      <c r="G67" s="130" t="s">
        <v>163</v>
      </c>
      <c r="H67" s="138"/>
      <c r="I67" s="138"/>
      <c r="J67" s="138"/>
      <c r="K67" s="139"/>
      <c r="L67" s="59" t="s">
        <v>83</v>
      </c>
      <c r="M67" s="16"/>
    </row>
    <row r="68" spans="1:13" ht="24" customHeight="1" x14ac:dyDescent="0.4">
      <c r="A68" s="1"/>
      <c r="B68" s="30" t="s">
        <v>164</v>
      </c>
      <c r="C68" s="56" t="s">
        <v>165</v>
      </c>
      <c r="D68" s="29" t="s">
        <v>23</v>
      </c>
      <c r="E68" s="61">
        <v>6.4999999999999997E-3</v>
      </c>
      <c r="F68" s="62">
        <v>152</v>
      </c>
      <c r="G68" s="130" t="s">
        <v>166</v>
      </c>
      <c r="H68" s="138"/>
      <c r="I68" s="138"/>
      <c r="J68" s="138"/>
      <c r="K68" s="139"/>
      <c r="L68" s="58" t="s">
        <v>92</v>
      </c>
      <c r="M68" s="16"/>
    </row>
    <row r="69" spans="1:13" ht="33" customHeight="1" x14ac:dyDescent="0.4">
      <c r="A69" s="1"/>
      <c r="B69" s="36" t="s">
        <v>167</v>
      </c>
      <c r="C69" s="154" t="s">
        <v>168</v>
      </c>
      <c r="D69" s="139"/>
      <c r="E69" s="64">
        <v>0.3952</v>
      </c>
      <c r="F69" s="65">
        <v>9215</v>
      </c>
      <c r="G69" s="154" t="s">
        <v>609</v>
      </c>
      <c r="H69" s="138"/>
      <c r="I69" s="138"/>
      <c r="J69" s="138"/>
      <c r="K69" s="139"/>
      <c r="L69" s="60" t="s">
        <v>169</v>
      </c>
      <c r="M69" s="16"/>
    </row>
    <row r="70" spans="1:13" x14ac:dyDescent="0.4">
      <c r="A70" s="1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16"/>
    </row>
    <row r="71" spans="1:13" ht="20.399999999999999" x14ac:dyDescent="0.45">
      <c r="A71" s="1"/>
      <c r="B71" s="133" t="s">
        <v>610</v>
      </c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6"/>
    </row>
    <row r="72" spans="1:13" x14ac:dyDescent="0.4">
      <c r="A72" s="1"/>
      <c r="B72" s="157" t="s">
        <v>170</v>
      </c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6"/>
    </row>
    <row r="73" spans="1:13" ht="10.199999999999999" customHeight="1" x14ac:dyDescent="0.4">
      <c r="A73" s="1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16"/>
    </row>
    <row r="74" spans="1:13" ht="24" customHeight="1" x14ac:dyDescent="0.4">
      <c r="A74" s="1"/>
      <c r="B74" s="27" t="s">
        <v>143</v>
      </c>
      <c r="C74" s="27" t="s">
        <v>22</v>
      </c>
      <c r="D74" s="152" t="s">
        <v>171</v>
      </c>
      <c r="E74" s="132"/>
      <c r="F74" s="27" t="s">
        <v>172</v>
      </c>
      <c r="G74" s="27" t="s">
        <v>173</v>
      </c>
      <c r="H74" s="152" t="s">
        <v>174</v>
      </c>
      <c r="I74" s="131"/>
      <c r="J74" s="131"/>
      <c r="K74" s="132"/>
      <c r="L74" s="27" t="s">
        <v>75</v>
      </c>
      <c r="M74" s="16"/>
    </row>
    <row r="75" spans="1:13" ht="28.05" customHeight="1" x14ac:dyDescent="0.4">
      <c r="A75" s="1"/>
      <c r="B75" s="30" t="s">
        <v>147</v>
      </c>
      <c r="C75" s="28" t="s">
        <v>23</v>
      </c>
      <c r="D75" s="130" t="s">
        <v>175</v>
      </c>
      <c r="E75" s="132"/>
      <c r="F75" s="66">
        <v>0.184</v>
      </c>
      <c r="G75" s="68">
        <v>4291</v>
      </c>
      <c r="H75" s="130" t="s">
        <v>176</v>
      </c>
      <c r="I75" s="131"/>
      <c r="J75" s="131"/>
      <c r="K75" s="132"/>
      <c r="L75" s="35" t="s">
        <v>177</v>
      </c>
      <c r="M75" s="16"/>
    </row>
    <row r="76" spans="1:13" ht="28.05" customHeight="1" x14ac:dyDescent="0.4">
      <c r="A76" s="1"/>
      <c r="B76" s="30" t="s">
        <v>149</v>
      </c>
      <c r="C76" s="28" t="s">
        <v>36</v>
      </c>
      <c r="D76" s="130" t="s">
        <v>178</v>
      </c>
      <c r="E76" s="132"/>
      <c r="F76" s="66">
        <v>0.1105</v>
      </c>
      <c r="G76" s="68">
        <v>2576</v>
      </c>
      <c r="H76" s="130" t="s">
        <v>179</v>
      </c>
      <c r="I76" s="131"/>
      <c r="J76" s="131"/>
      <c r="K76" s="132"/>
      <c r="L76" s="35" t="s">
        <v>180</v>
      </c>
      <c r="M76" s="16"/>
    </row>
    <row r="77" spans="1:13" ht="28.05" customHeight="1" x14ac:dyDescent="0.4">
      <c r="A77" s="1"/>
      <c r="B77" s="30" t="s">
        <v>151</v>
      </c>
      <c r="C77" s="28" t="s">
        <v>33</v>
      </c>
      <c r="D77" s="130" t="s">
        <v>32</v>
      </c>
      <c r="E77" s="132"/>
      <c r="F77" s="66">
        <v>6.8500000000000005E-2</v>
      </c>
      <c r="G77" s="68">
        <v>1598</v>
      </c>
      <c r="H77" s="130" t="s">
        <v>181</v>
      </c>
      <c r="I77" s="131"/>
      <c r="J77" s="131"/>
      <c r="K77" s="132"/>
      <c r="L77" s="34" t="s">
        <v>80</v>
      </c>
      <c r="M77" s="16"/>
    </row>
    <row r="78" spans="1:13" ht="28.05" customHeight="1" x14ac:dyDescent="0.4">
      <c r="A78" s="1"/>
      <c r="B78" s="30" t="s">
        <v>154</v>
      </c>
      <c r="C78" s="28" t="s">
        <v>43</v>
      </c>
      <c r="D78" s="130" t="s">
        <v>42</v>
      </c>
      <c r="E78" s="132"/>
      <c r="F78" s="66">
        <v>3.2199999999999999E-2</v>
      </c>
      <c r="G78" s="67">
        <v>750</v>
      </c>
      <c r="H78" s="130" t="s">
        <v>182</v>
      </c>
      <c r="I78" s="131"/>
      <c r="J78" s="131"/>
      <c r="K78" s="132"/>
      <c r="L78" s="35" t="s">
        <v>83</v>
      </c>
      <c r="M78" s="16"/>
    </row>
    <row r="79" spans="1:13" ht="25.95" customHeight="1" x14ac:dyDescent="0.4">
      <c r="A79" s="1"/>
      <c r="B79" s="36" t="s">
        <v>183</v>
      </c>
      <c r="C79" s="140" t="s">
        <v>184</v>
      </c>
      <c r="D79" s="131"/>
      <c r="E79" s="132"/>
      <c r="F79" s="69">
        <v>0.3952</v>
      </c>
      <c r="G79" s="70">
        <v>9215</v>
      </c>
      <c r="H79" s="140" t="s">
        <v>185</v>
      </c>
      <c r="I79" s="131"/>
      <c r="J79" s="131"/>
      <c r="K79" s="132"/>
      <c r="L79" s="31" t="s">
        <v>169</v>
      </c>
      <c r="M79" s="16"/>
    </row>
    <row r="80" spans="1:13" x14ac:dyDescent="0.4">
      <c r="A80" s="1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16"/>
    </row>
    <row r="81" spans="1:13" x14ac:dyDescent="0.4">
      <c r="A81" s="1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16"/>
    </row>
    <row r="82" spans="1:13" x14ac:dyDescent="0.4">
      <c r="M82" s="73"/>
    </row>
  </sheetData>
  <mergeCells count="118">
    <mergeCell ref="B3:L3"/>
    <mergeCell ref="C36:D36"/>
    <mergeCell ref="C79:E79"/>
    <mergeCell ref="C39:D39"/>
    <mergeCell ref="D74:E74"/>
    <mergeCell ref="D15:E15"/>
    <mergeCell ref="G63:K63"/>
    <mergeCell ref="J35:L35"/>
    <mergeCell ref="H75:K75"/>
    <mergeCell ref="J29:L29"/>
    <mergeCell ref="G15:L15"/>
    <mergeCell ref="C38:D38"/>
    <mergeCell ref="G65:K65"/>
    <mergeCell ref="C34:D34"/>
    <mergeCell ref="J49:L49"/>
    <mergeCell ref="J9:L9"/>
    <mergeCell ref="B23:L23"/>
    <mergeCell ref="G66:K66"/>
    <mergeCell ref="D16:E16"/>
    <mergeCell ref="J43:L43"/>
    <mergeCell ref="J30:L30"/>
    <mergeCell ref="J39:L39"/>
    <mergeCell ref="C48:D48"/>
    <mergeCell ref="F7:H8"/>
    <mergeCell ref="B2:L2"/>
    <mergeCell ref="J44:L44"/>
    <mergeCell ref="D78:E78"/>
    <mergeCell ref="G64:K64"/>
    <mergeCell ref="J31:L31"/>
    <mergeCell ref="J25:L25"/>
    <mergeCell ref="B17:C17"/>
    <mergeCell ref="C49:D49"/>
    <mergeCell ref="D77:E77"/>
    <mergeCell ref="B72:L72"/>
    <mergeCell ref="G20:L20"/>
    <mergeCell ref="C30:D30"/>
    <mergeCell ref="J45:L45"/>
    <mergeCell ref="B18:C18"/>
    <mergeCell ref="C41:D41"/>
    <mergeCell ref="D18:E18"/>
    <mergeCell ref="H78:K78"/>
    <mergeCell ref="D54:L54"/>
    <mergeCell ref="J37:L37"/>
    <mergeCell ref="B20:C20"/>
    <mergeCell ref="D20:E20"/>
    <mergeCell ref="B4:L4"/>
    <mergeCell ref="B16:C16"/>
    <mergeCell ref="C69:D69"/>
    <mergeCell ref="B9:D9"/>
    <mergeCell ref="J6:L6"/>
    <mergeCell ref="J46:L46"/>
    <mergeCell ref="B19:C19"/>
    <mergeCell ref="C45:D45"/>
    <mergeCell ref="B53:C53"/>
    <mergeCell ref="C26:D26"/>
    <mergeCell ref="F6:H6"/>
    <mergeCell ref="B13:L13"/>
    <mergeCell ref="F9:H9"/>
    <mergeCell ref="G18:L18"/>
    <mergeCell ref="J38:L38"/>
    <mergeCell ref="C33:D33"/>
    <mergeCell ref="C42:D42"/>
    <mergeCell ref="G69:K69"/>
    <mergeCell ref="D19:E19"/>
    <mergeCell ref="J36:L36"/>
    <mergeCell ref="C35:D35"/>
    <mergeCell ref="C47:D47"/>
    <mergeCell ref="C29:D29"/>
    <mergeCell ref="B55:C55"/>
    <mergeCell ref="G68:K68"/>
    <mergeCell ref="B6:D6"/>
    <mergeCell ref="J26:L26"/>
    <mergeCell ref="J40:L40"/>
    <mergeCell ref="D53:L53"/>
    <mergeCell ref="B54:C54"/>
    <mergeCell ref="J41:L41"/>
    <mergeCell ref="C25:D25"/>
    <mergeCell ref="B51:L51"/>
    <mergeCell ref="G19:L19"/>
    <mergeCell ref="B7:D8"/>
    <mergeCell ref="D17:E17"/>
    <mergeCell ref="J28:L28"/>
    <mergeCell ref="G17:L17"/>
    <mergeCell ref="C27:D27"/>
    <mergeCell ref="J42:L42"/>
    <mergeCell ref="C32:D32"/>
    <mergeCell ref="J47:L47"/>
    <mergeCell ref="B15:C15"/>
    <mergeCell ref="C37:D37"/>
    <mergeCell ref="J33:L33"/>
    <mergeCell ref="C43:D43"/>
    <mergeCell ref="C31:D31"/>
    <mergeCell ref="C28:D28"/>
    <mergeCell ref="C40:D40"/>
    <mergeCell ref="H76:K76"/>
    <mergeCell ref="B71:L71"/>
    <mergeCell ref="B58:L58"/>
    <mergeCell ref="C44:D44"/>
    <mergeCell ref="G67:K67"/>
    <mergeCell ref="H79:K79"/>
    <mergeCell ref="J7:L8"/>
    <mergeCell ref="B12:L12"/>
    <mergeCell ref="H77:K77"/>
    <mergeCell ref="J48:L48"/>
    <mergeCell ref="G60:K60"/>
    <mergeCell ref="B57:L57"/>
    <mergeCell ref="G61:K61"/>
    <mergeCell ref="D76:E76"/>
    <mergeCell ref="G62:K62"/>
    <mergeCell ref="H74:K74"/>
    <mergeCell ref="D55:L55"/>
    <mergeCell ref="D75:E75"/>
    <mergeCell ref="B22:L22"/>
    <mergeCell ref="J27:L27"/>
    <mergeCell ref="J32:L32"/>
    <mergeCell ref="G16:L16"/>
    <mergeCell ref="C46:D46"/>
    <mergeCell ref="J34:L34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showGridLines="0" zoomScaleNormal="100" workbookViewId="0">
      <selection activeCell="O12" sqref="O12"/>
    </sheetView>
  </sheetViews>
  <sheetFormatPr defaultRowHeight="17.399999999999999" x14ac:dyDescent="0.4"/>
  <cols>
    <col min="1" max="1" width="3" customWidth="1"/>
    <col min="2" max="2" width="7" customWidth="1"/>
    <col min="3" max="3" width="20" customWidth="1"/>
    <col min="4" max="4" width="10" customWidth="1"/>
    <col min="5" max="5" width="8" customWidth="1"/>
    <col min="6" max="6" width="20" customWidth="1"/>
    <col min="7" max="8" width="12" customWidth="1"/>
    <col min="9" max="12" width="10" customWidth="1"/>
  </cols>
  <sheetData>
    <row r="1" spans="1:13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6"/>
    </row>
    <row r="2" spans="1:13" ht="34.200000000000003" x14ac:dyDescent="0.8">
      <c r="A2" s="1"/>
      <c r="B2" s="183" t="s">
        <v>611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6"/>
    </row>
    <row r="3" spans="1:13" x14ac:dyDescent="0.4">
      <c r="A3" s="1"/>
      <c r="B3" s="187" t="s">
        <v>186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6"/>
    </row>
    <row r="4" spans="1:13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6"/>
    </row>
    <row r="5" spans="1:13" ht="22.05" customHeight="1" x14ac:dyDescent="0.4">
      <c r="A5" s="1"/>
      <c r="B5" s="171" t="s">
        <v>187</v>
      </c>
      <c r="C5" s="169"/>
      <c r="D5" s="170"/>
      <c r="E5" s="1"/>
      <c r="F5" s="171" t="s">
        <v>188</v>
      </c>
      <c r="G5" s="169"/>
      <c r="H5" s="170"/>
      <c r="I5" s="1"/>
      <c r="J5" s="171" t="s">
        <v>189</v>
      </c>
      <c r="K5" s="169"/>
      <c r="L5" s="170"/>
      <c r="M5" s="16"/>
    </row>
    <row r="6" spans="1:13" ht="22.05" customHeight="1" x14ac:dyDescent="0.4">
      <c r="A6" s="1"/>
      <c r="B6" s="177" t="s">
        <v>7</v>
      </c>
      <c r="C6" s="178"/>
      <c r="D6" s="179"/>
      <c r="E6" s="1"/>
      <c r="F6" s="177" t="s">
        <v>190</v>
      </c>
      <c r="G6" s="178"/>
      <c r="H6" s="179"/>
      <c r="I6" s="1"/>
      <c r="J6" s="177" t="s">
        <v>191</v>
      </c>
      <c r="K6" s="178"/>
      <c r="L6" s="179"/>
      <c r="M6" s="16"/>
    </row>
    <row r="7" spans="1:13" ht="22.05" customHeight="1" x14ac:dyDescent="0.4">
      <c r="A7" s="1"/>
      <c r="B7" s="180"/>
      <c r="C7" s="181"/>
      <c r="D7" s="182"/>
      <c r="E7" s="1"/>
      <c r="F7" s="180"/>
      <c r="G7" s="181"/>
      <c r="H7" s="182"/>
      <c r="I7" s="1"/>
      <c r="J7" s="180"/>
      <c r="K7" s="181"/>
      <c r="L7" s="182"/>
      <c r="M7" s="16"/>
    </row>
    <row r="8" spans="1:13" ht="22.05" customHeight="1" x14ac:dyDescent="0.4">
      <c r="A8" s="1"/>
      <c r="B8" s="168" t="s">
        <v>192</v>
      </c>
      <c r="C8" s="169"/>
      <c r="D8" s="170"/>
      <c r="E8" s="1"/>
      <c r="F8" s="168" t="s">
        <v>193</v>
      </c>
      <c r="G8" s="169"/>
      <c r="H8" s="170"/>
      <c r="I8" s="1"/>
      <c r="J8" s="168" t="s">
        <v>194</v>
      </c>
      <c r="K8" s="169"/>
      <c r="L8" s="170"/>
      <c r="M8" s="16"/>
    </row>
    <row r="9" spans="1:13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6"/>
    </row>
    <row r="10" spans="1:13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6"/>
    </row>
    <row r="11" spans="1:13" ht="18.600000000000001" x14ac:dyDescent="0.45">
      <c r="A11" s="1"/>
      <c r="B11" s="189" t="s">
        <v>195</v>
      </c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6"/>
    </row>
    <row r="12" spans="1:13" x14ac:dyDescent="0.4">
      <c r="A12" s="1"/>
      <c r="B12" s="3" t="s">
        <v>46</v>
      </c>
      <c r="C12" s="3" t="s">
        <v>27</v>
      </c>
      <c r="D12" s="3" t="s">
        <v>196</v>
      </c>
      <c r="E12" s="3" t="s">
        <v>48</v>
      </c>
      <c r="F12" s="3" t="s">
        <v>197</v>
      </c>
      <c r="G12" s="185"/>
      <c r="H12" s="186"/>
      <c r="I12" s="1"/>
      <c r="J12" s="1"/>
      <c r="K12" s="1"/>
      <c r="L12" s="1"/>
      <c r="M12" s="16"/>
    </row>
    <row r="13" spans="1:13" ht="22.05" customHeight="1" x14ac:dyDescent="0.4">
      <c r="A13" s="1"/>
      <c r="B13" s="6" t="s">
        <v>78</v>
      </c>
      <c r="C13" s="4" t="s">
        <v>199</v>
      </c>
      <c r="D13" s="75">
        <v>10.16</v>
      </c>
      <c r="E13" s="76">
        <v>0.52400000000000002</v>
      </c>
      <c r="F13" s="174" t="s">
        <v>612</v>
      </c>
      <c r="G13" s="175"/>
      <c r="H13" s="176"/>
      <c r="I13" s="172"/>
      <c r="J13" s="173"/>
      <c r="K13" s="173"/>
      <c r="L13" s="173"/>
      <c r="M13" s="16"/>
    </row>
    <row r="14" spans="1:13" ht="22.05" customHeight="1" x14ac:dyDescent="0.4">
      <c r="A14" s="1"/>
      <c r="B14" s="7" t="s">
        <v>80</v>
      </c>
      <c r="C14" s="4" t="s">
        <v>200</v>
      </c>
      <c r="D14" s="75">
        <v>7.07</v>
      </c>
      <c r="E14" s="76">
        <v>0.36399999999999999</v>
      </c>
      <c r="F14" s="174" t="s">
        <v>612</v>
      </c>
      <c r="G14" s="175"/>
      <c r="H14" s="176"/>
      <c r="I14" s="172"/>
      <c r="J14" s="173"/>
      <c r="K14" s="173"/>
      <c r="L14" s="173"/>
      <c r="M14" s="16"/>
    </row>
    <row r="15" spans="1:13" ht="22.05" customHeight="1" x14ac:dyDescent="0.4">
      <c r="A15" s="1"/>
      <c r="B15" s="8" t="s">
        <v>83</v>
      </c>
      <c r="C15" s="4" t="s">
        <v>201</v>
      </c>
      <c r="D15" s="75">
        <v>0.79</v>
      </c>
      <c r="E15" s="76">
        <v>4.1000000000000002E-2</v>
      </c>
      <c r="F15" s="174" t="s">
        <v>202</v>
      </c>
      <c r="G15" s="175"/>
      <c r="H15" s="176"/>
      <c r="I15" s="172"/>
      <c r="J15" s="173"/>
      <c r="K15" s="173"/>
      <c r="L15" s="173"/>
      <c r="M15" s="16"/>
    </row>
    <row r="16" spans="1:13" ht="22.05" customHeight="1" x14ac:dyDescent="0.4">
      <c r="A16" s="1"/>
      <c r="B16" s="6" t="s">
        <v>78</v>
      </c>
      <c r="C16" s="4" t="s">
        <v>94</v>
      </c>
      <c r="D16" s="75">
        <v>0.74</v>
      </c>
      <c r="E16" s="76">
        <v>3.7999999999999999E-2</v>
      </c>
      <c r="F16" s="174" t="s">
        <v>613</v>
      </c>
      <c r="G16" s="175"/>
      <c r="H16" s="176"/>
      <c r="I16" s="172"/>
      <c r="J16" s="173"/>
      <c r="K16" s="173"/>
      <c r="L16" s="173"/>
      <c r="M16" s="16"/>
    </row>
    <row r="17" spans="1:13" ht="22.05" customHeight="1" x14ac:dyDescent="0.4">
      <c r="A17" s="1"/>
      <c r="B17" s="7" t="s">
        <v>80</v>
      </c>
      <c r="C17" s="4" t="s">
        <v>40</v>
      </c>
      <c r="D17" s="75">
        <v>0.41</v>
      </c>
      <c r="E17" s="76">
        <v>2.1000000000000001E-2</v>
      </c>
      <c r="F17" s="174" t="s">
        <v>202</v>
      </c>
      <c r="G17" s="175"/>
      <c r="H17" s="176"/>
      <c r="I17" s="172"/>
      <c r="J17" s="173"/>
      <c r="K17" s="173"/>
      <c r="L17" s="173"/>
      <c r="M17" s="16"/>
    </row>
    <row r="18" spans="1:13" ht="22.05" customHeight="1" x14ac:dyDescent="0.4">
      <c r="A18" s="1"/>
      <c r="B18" s="6" t="s">
        <v>78</v>
      </c>
      <c r="C18" s="4" t="s">
        <v>82</v>
      </c>
      <c r="D18" s="75">
        <v>0.41</v>
      </c>
      <c r="E18" s="76">
        <v>2.1000000000000001E-2</v>
      </c>
      <c r="F18" s="174" t="s">
        <v>202</v>
      </c>
      <c r="G18" s="175"/>
      <c r="H18" s="176"/>
      <c r="I18" s="172"/>
      <c r="J18" s="173"/>
      <c r="K18" s="173"/>
      <c r="L18" s="173"/>
      <c r="M18" s="16"/>
    </row>
    <row r="19" spans="1:13" ht="22.05" customHeight="1" x14ac:dyDescent="0.4">
      <c r="A19" s="1"/>
      <c r="B19" s="7" t="s">
        <v>80</v>
      </c>
      <c r="C19" s="4" t="s">
        <v>31</v>
      </c>
      <c r="D19" s="75">
        <v>0.26</v>
      </c>
      <c r="E19" s="76">
        <v>1.2999999999999999E-2</v>
      </c>
      <c r="F19" s="174" t="s">
        <v>202</v>
      </c>
      <c r="G19" s="175"/>
      <c r="H19" s="176"/>
      <c r="I19" s="172"/>
      <c r="J19" s="173"/>
      <c r="K19" s="173"/>
      <c r="L19" s="173"/>
      <c r="M19" s="16"/>
    </row>
    <row r="20" spans="1:13" ht="22.05" customHeight="1" x14ac:dyDescent="0.4">
      <c r="A20" s="1"/>
      <c r="B20" s="9" t="s">
        <v>92</v>
      </c>
      <c r="C20" s="77" t="s">
        <v>614</v>
      </c>
      <c r="D20" s="75">
        <v>0.27</v>
      </c>
      <c r="E20" s="76">
        <v>1.4E-2</v>
      </c>
      <c r="F20" s="174" t="s">
        <v>203</v>
      </c>
      <c r="G20" s="175"/>
      <c r="H20" s="176"/>
      <c r="I20" s="172"/>
      <c r="J20" s="173"/>
      <c r="K20" s="173"/>
      <c r="L20" s="173"/>
      <c r="M20" s="16"/>
    </row>
    <row r="21" spans="1:13" ht="22.05" customHeight="1" x14ac:dyDescent="0.4">
      <c r="A21" s="1"/>
      <c r="B21" s="9" t="s">
        <v>92</v>
      </c>
      <c r="C21" s="4" t="s">
        <v>615</v>
      </c>
      <c r="D21" s="75">
        <v>0.15</v>
      </c>
      <c r="E21" s="76">
        <v>8.0000000000000002E-3</v>
      </c>
      <c r="F21" s="174" t="s">
        <v>202</v>
      </c>
      <c r="G21" s="175"/>
      <c r="H21" s="176"/>
      <c r="I21" s="172"/>
      <c r="J21" s="173"/>
      <c r="K21" s="173"/>
      <c r="L21" s="173"/>
      <c r="M21" s="16"/>
    </row>
    <row r="22" spans="1:13" ht="24" customHeight="1" x14ac:dyDescent="0.4">
      <c r="A22" s="1"/>
      <c r="B22" s="5"/>
      <c r="C22" s="5" t="s">
        <v>183</v>
      </c>
      <c r="D22" s="5">
        <v>19.399999999999999</v>
      </c>
      <c r="E22" s="5" t="s">
        <v>135</v>
      </c>
      <c r="F22" s="191" t="s">
        <v>204</v>
      </c>
      <c r="G22" s="175"/>
      <c r="H22" s="176"/>
      <c r="I22" s="172"/>
      <c r="J22" s="173"/>
      <c r="K22" s="173"/>
      <c r="L22" s="173"/>
      <c r="M22" s="16"/>
    </row>
    <row r="23" spans="1:13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6"/>
    </row>
    <row r="24" spans="1:13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6"/>
    </row>
    <row r="25" spans="1:13" ht="18.600000000000001" x14ac:dyDescent="0.45">
      <c r="A25" s="1"/>
      <c r="B25" s="189" t="s">
        <v>205</v>
      </c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6"/>
    </row>
    <row r="26" spans="1:13" ht="25.95" customHeight="1" x14ac:dyDescent="0.4">
      <c r="A26" s="1"/>
      <c r="B26" s="184" t="s">
        <v>206</v>
      </c>
      <c r="C26" s="169"/>
      <c r="D26" s="170"/>
      <c r="E26" s="188" t="s">
        <v>207</v>
      </c>
      <c r="F26" s="169"/>
      <c r="G26" s="169"/>
      <c r="H26" s="169"/>
      <c r="I26" s="169"/>
      <c r="J26" s="169"/>
      <c r="K26" s="169"/>
      <c r="L26" s="170"/>
      <c r="M26" s="16"/>
    </row>
    <row r="27" spans="1:13" ht="25.95" customHeight="1" x14ac:dyDescent="0.4">
      <c r="A27" s="1"/>
      <c r="B27" s="184" t="s">
        <v>208</v>
      </c>
      <c r="C27" s="169"/>
      <c r="D27" s="170"/>
      <c r="E27" s="188" t="s">
        <v>209</v>
      </c>
      <c r="F27" s="169"/>
      <c r="G27" s="169"/>
      <c r="H27" s="169"/>
      <c r="I27" s="169"/>
      <c r="J27" s="169"/>
      <c r="K27" s="169"/>
      <c r="L27" s="170"/>
      <c r="M27" s="16"/>
    </row>
    <row r="28" spans="1:13" ht="25.95" customHeight="1" x14ac:dyDescent="0.4">
      <c r="A28" s="1"/>
      <c r="B28" s="184" t="s">
        <v>616</v>
      </c>
      <c r="C28" s="169"/>
      <c r="D28" s="170"/>
      <c r="E28" s="188" t="s">
        <v>617</v>
      </c>
      <c r="F28" s="169"/>
      <c r="G28" s="169"/>
      <c r="H28" s="169"/>
      <c r="I28" s="169"/>
      <c r="J28" s="169"/>
      <c r="K28" s="169"/>
      <c r="L28" s="170"/>
      <c r="M28" s="16"/>
    </row>
    <row r="29" spans="1:13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6"/>
    </row>
    <row r="35" spans="14:15" x14ac:dyDescent="0.4">
      <c r="N35" s="14"/>
      <c r="O35" s="14"/>
    </row>
  </sheetData>
  <mergeCells count="40">
    <mergeCell ref="E27:L27"/>
    <mergeCell ref="B11:L11"/>
    <mergeCell ref="E26:L26"/>
    <mergeCell ref="B28:D28"/>
    <mergeCell ref="I13:L13"/>
    <mergeCell ref="B25:L25"/>
    <mergeCell ref="I22:L22"/>
    <mergeCell ref="F22:H22"/>
    <mergeCell ref="I19:L19"/>
    <mergeCell ref="F13:H13"/>
    <mergeCell ref="F16:H16"/>
    <mergeCell ref="I15:L15"/>
    <mergeCell ref="B27:D27"/>
    <mergeCell ref="I18:L18"/>
    <mergeCell ref="E28:L28"/>
    <mergeCell ref="I21:L21"/>
    <mergeCell ref="F20:H20"/>
    <mergeCell ref="F19:H19"/>
    <mergeCell ref="B2:L2"/>
    <mergeCell ref="B26:D26"/>
    <mergeCell ref="B6:D7"/>
    <mergeCell ref="F6:H7"/>
    <mergeCell ref="B5:D5"/>
    <mergeCell ref="F8:H8"/>
    <mergeCell ref="J8:L8"/>
    <mergeCell ref="F5:H5"/>
    <mergeCell ref="F18:H18"/>
    <mergeCell ref="F21:H21"/>
    <mergeCell ref="I20:L20"/>
    <mergeCell ref="G12:H12"/>
    <mergeCell ref="F17:H17"/>
    <mergeCell ref="B3:L3"/>
    <mergeCell ref="B8:D8"/>
    <mergeCell ref="J5:L5"/>
    <mergeCell ref="I14:L14"/>
    <mergeCell ref="F15:H15"/>
    <mergeCell ref="I17:L17"/>
    <mergeCell ref="F14:H14"/>
    <mergeCell ref="J6:L7"/>
    <mergeCell ref="I16:L16"/>
  </mergeCells>
  <phoneticPr fontId="18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showGridLines="0" workbookViewId="0">
      <selection activeCell="H33" sqref="H33"/>
    </sheetView>
  </sheetViews>
  <sheetFormatPr defaultRowHeight="17.399999999999999" x14ac:dyDescent="0.4"/>
  <cols>
    <col min="1" max="1" width="3" customWidth="1"/>
    <col min="2" max="2" width="15" customWidth="1"/>
    <col min="3" max="3" width="13" customWidth="1"/>
    <col min="4" max="4" width="10" customWidth="1"/>
    <col min="5" max="5" width="7" customWidth="1"/>
    <col min="6" max="6" width="10" customWidth="1"/>
    <col min="7" max="7" width="8" customWidth="1"/>
    <col min="8" max="8" width="9" customWidth="1"/>
    <col min="9" max="9" width="7" customWidth="1"/>
    <col min="10" max="10" width="8" customWidth="1"/>
    <col min="11" max="12" width="9" customWidth="1"/>
    <col min="13" max="13" width="10" customWidth="1"/>
    <col min="14" max="14" width="7" customWidth="1"/>
    <col min="15" max="21" width="10" customWidth="1"/>
    <col min="22" max="22" width="5.296875" customWidth="1"/>
  </cols>
  <sheetData>
    <row r="1" spans="1:22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6"/>
    </row>
    <row r="2" spans="1:22" ht="34.200000000000003" x14ac:dyDescent="0.8">
      <c r="A2" s="1"/>
      <c r="B2" s="183" t="s">
        <v>620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6"/>
    </row>
    <row r="3" spans="1:22" x14ac:dyDescent="0.4">
      <c r="A3" s="1"/>
      <c r="B3" s="187" t="s">
        <v>621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6"/>
    </row>
    <row r="4" spans="1:22" ht="18.600000000000001" x14ac:dyDescent="0.45">
      <c r="A4" s="1"/>
      <c r="B4" s="189" t="s">
        <v>214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6"/>
    </row>
    <row r="5" spans="1:22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6"/>
    </row>
    <row r="6" spans="1:22" ht="31.95" customHeight="1" x14ac:dyDescent="0.4">
      <c r="A6" s="1"/>
      <c r="B6" s="171" t="s">
        <v>629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70"/>
      <c r="V6" s="16"/>
    </row>
    <row r="7" spans="1:22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6"/>
    </row>
    <row r="8" spans="1:22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6"/>
    </row>
    <row r="9" spans="1:22" ht="18.600000000000001" x14ac:dyDescent="0.45">
      <c r="A9" s="1"/>
      <c r="B9" s="189" t="s">
        <v>215</v>
      </c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6"/>
    </row>
    <row r="10" spans="1:22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6"/>
    </row>
    <row r="11" spans="1:22" ht="46.05" customHeight="1" x14ac:dyDescent="0.4">
      <c r="A11" s="1"/>
      <c r="B11" s="78" t="s">
        <v>27</v>
      </c>
      <c r="C11" s="78" t="s">
        <v>197</v>
      </c>
      <c r="D11" s="78" t="s">
        <v>216</v>
      </c>
      <c r="E11" s="78" t="s">
        <v>217</v>
      </c>
      <c r="F11" s="78" t="s">
        <v>218</v>
      </c>
      <c r="G11" s="78" t="s">
        <v>631</v>
      </c>
      <c r="H11" s="78" t="s">
        <v>632</v>
      </c>
      <c r="I11" s="78" t="s">
        <v>219</v>
      </c>
      <c r="J11" s="78" t="s">
        <v>220</v>
      </c>
      <c r="K11" s="78" t="s">
        <v>221</v>
      </c>
      <c r="L11" s="78" t="s">
        <v>622</v>
      </c>
      <c r="M11" s="78" t="s">
        <v>633</v>
      </c>
      <c r="N11" s="78" t="s">
        <v>222</v>
      </c>
      <c r="O11" s="196" t="s">
        <v>198</v>
      </c>
      <c r="P11" s="194"/>
      <c r="Q11" s="194"/>
      <c r="R11" s="194"/>
      <c r="S11" s="194"/>
      <c r="T11" s="194"/>
      <c r="U11" s="195"/>
      <c r="V11" s="101"/>
    </row>
    <row r="12" spans="1:22" ht="36" customHeight="1" x14ac:dyDescent="0.4">
      <c r="A12" s="1"/>
      <c r="B12" s="79" t="s">
        <v>200</v>
      </c>
      <c r="C12" s="80" t="s">
        <v>623</v>
      </c>
      <c r="D12" s="81" t="s">
        <v>223</v>
      </c>
      <c r="E12" s="93">
        <v>150</v>
      </c>
      <c r="F12" s="82" t="s">
        <v>224</v>
      </c>
      <c r="G12" s="95">
        <v>3000</v>
      </c>
      <c r="H12" s="96">
        <v>36000</v>
      </c>
      <c r="I12" s="96">
        <v>7900</v>
      </c>
      <c r="J12" s="97">
        <v>2.8</v>
      </c>
      <c r="K12" s="98">
        <v>1.9E-2</v>
      </c>
      <c r="L12" s="99">
        <v>7.07</v>
      </c>
      <c r="M12" s="100">
        <v>4.7100000000000003E-2</v>
      </c>
      <c r="N12" s="84" t="s">
        <v>635</v>
      </c>
      <c r="O12" s="193" t="s">
        <v>636</v>
      </c>
      <c r="P12" s="194"/>
      <c r="Q12" s="194"/>
      <c r="R12" s="194"/>
      <c r="S12" s="194"/>
      <c r="T12" s="194"/>
      <c r="U12" s="195"/>
      <c r="V12" s="16"/>
    </row>
    <row r="13" spans="1:22" ht="36" customHeight="1" x14ac:dyDescent="0.4">
      <c r="A13" s="1"/>
      <c r="B13" s="79" t="s">
        <v>630</v>
      </c>
      <c r="C13" s="80" t="s">
        <v>624</v>
      </c>
      <c r="D13" s="85" t="s">
        <v>228</v>
      </c>
      <c r="E13" s="94">
        <v>8500</v>
      </c>
      <c r="F13" s="82" t="s">
        <v>229</v>
      </c>
      <c r="G13" s="95">
        <v>30000</v>
      </c>
      <c r="H13" s="96">
        <v>360000</v>
      </c>
      <c r="I13" s="96">
        <v>14800</v>
      </c>
      <c r="J13" s="97">
        <v>53.3</v>
      </c>
      <c r="K13" s="98">
        <v>6.0000000000000001E-3</v>
      </c>
      <c r="L13" s="99">
        <v>10.16</v>
      </c>
      <c r="M13" s="100">
        <v>1.1999999999999999E-3</v>
      </c>
      <c r="N13" s="84" t="s">
        <v>234</v>
      </c>
      <c r="O13" s="193" t="s">
        <v>637</v>
      </c>
      <c r="P13" s="194"/>
      <c r="Q13" s="194"/>
      <c r="R13" s="194"/>
      <c r="S13" s="194"/>
      <c r="T13" s="194"/>
      <c r="U13" s="195"/>
      <c r="V13" s="16"/>
    </row>
    <row r="14" spans="1:22" ht="36" customHeight="1" x14ac:dyDescent="0.4">
      <c r="A14" s="1"/>
      <c r="B14" s="79" t="s">
        <v>91</v>
      </c>
      <c r="C14" s="86" t="s">
        <v>625</v>
      </c>
      <c r="D14" s="87" t="s">
        <v>235</v>
      </c>
      <c r="E14" s="93">
        <v>100</v>
      </c>
      <c r="F14" s="82" t="s">
        <v>236</v>
      </c>
      <c r="G14" s="95">
        <v>10000</v>
      </c>
      <c r="H14" s="96">
        <v>120000</v>
      </c>
      <c r="I14" s="96">
        <v>7900</v>
      </c>
      <c r="J14" s="97">
        <v>9.5</v>
      </c>
      <c r="K14" s="98">
        <v>9.5000000000000001E-2</v>
      </c>
      <c r="L14" s="83" t="s">
        <v>25</v>
      </c>
      <c r="M14" s="83" t="s">
        <v>25</v>
      </c>
      <c r="N14" s="102" t="s">
        <v>634</v>
      </c>
      <c r="O14" s="193" t="s">
        <v>638</v>
      </c>
      <c r="P14" s="194"/>
      <c r="Q14" s="194"/>
      <c r="R14" s="194"/>
      <c r="S14" s="194"/>
      <c r="T14" s="194"/>
      <c r="U14" s="195"/>
      <c r="V14" s="16"/>
    </row>
    <row r="15" spans="1:22" ht="36" customHeight="1" x14ac:dyDescent="0.4">
      <c r="A15" s="1"/>
      <c r="B15" s="79" t="s">
        <v>94</v>
      </c>
      <c r="C15" s="88" t="s">
        <v>626</v>
      </c>
      <c r="D15" s="89" t="s">
        <v>239</v>
      </c>
      <c r="E15" s="93">
        <v>85</v>
      </c>
      <c r="F15" s="82" t="s">
        <v>240</v>
      </c>
      <c r="G15" s="95">
        <v>10000</v>
      </c>
      <c r="H15" s="96">
        <v>120000</v>
      </c>
      <c r="I15" s="96">
        <v>8990</v>
      </c>
      <c r="J15" s="97">
        <v>10.8</v>
      </c>
      <c r="K15" s="98">
        <v>0.127</v>
      </c>
      <c r="L15" s="99">
        <v>0.74</v>
      </c>
      <c r="M15" s="100">
        <v>8.6999999999999994E-3</v>
      </c>
      <c r="N15" s="84" t="s">
        <v>242</v>
      </c>
      <c r="O15" s="193" t="s">
        <v>243</v>
      </c>
      <c r="P15" s="194"/>
      <c r="Q15" s="194"/>
      <c r="R15" s="194"/>
      <c r="S15" s="194"/>
      <c r="T15" s="194"/>
      <c r="U15" s="195"/>
      <c r="V15" s="16"/>
    </row>
    <row r="16" spans="1:22" ht="36" customHeight="1" x14ac:dyDescent="0.4">
      <c r="A16" s="1"/>
      <c r="B16" s="79" t="s">
        <v>244</v>
      </c>
      <c r="C16" s="86" t="str">
        <f>C14</f>
        <v xml:space="preserve">런칭 검토 </v>
      </c>
      <c r="D16" s="87" t="s">
        <v>235</v>
      </c>
      <c r="E16" s="93">
        <v>225</v>
      </c>
      <c r="F16" s="82" t="s">
        <v>245</v>
      </c>
      <c r="G16" s="95">
        <v>20000</v>
      </c>
      <c r="H16" s="96">
        <v>240000</v>
      </c>
      <c r="I16" s="96">
        <v>10520</v>
      </c>
      <c r="J16" s="97">
        <v>25.2</v>
      </c>
      <c r="K16" s="98">
        <v>0.112</v>
      </c>
      <c r="L16" s="83" t="s">
        <v>25</v>
      </c>
      <c r="M16" s="83" t="s">
        <v>25</v>
      </c>
      <c r="N16" s="102" t="s">
        <v>634</v>
      </c>
      <c r="O16" s="193" t="s">
        <v>639</v>
      </c>
      <c r="P16" s="194"/>
      <c r="Q16" s="194"/>
      <c r="R16" s="194"/>
      <c r="S16" s="194"/>
      <c r="T16" s="194"/>
      <c r="U16" s="195"/>
      <c r="V16" s="16"/>
    </row>
    <row r="17" spans="1:22" ht="36" customHeight="1" x14ac:dyDescent="0.4">
      <c r="A17" s="1"/>
      <c r="B17" s="79" t="s">
        <v>31</v>
      </c>
      <c r="C17" s="80" t="s">
        <v>202</v>
      </c>
      <c r="D17" s="90" t="s">
        <v>249</v>
      </c>
      <c r="E17" s="94">
        <v>3250</v>
      </c>
      <c r="F17" s="82" t="s">
        <v>250</v>
      </c>
      <c r="G17" s="95">
        <v>40000</v>
      </c>
      <c r="H17" s="96">
        <v>480000</v>
      </c>
      <c r="I17" s="96">
        <v>8480</v>
      </c>
      <c r="J17" s="97">
        <v>40.700000000000003</v>
      </c>
      <c r="K17" s="98">
        <v>1.2999999999999999E-2</v>
      </c>
      <c r="L17" s="99">
        <v>0.26</v>
      </c>
      <c r="M17" s="100">
        <v>1E-4</v>
      </c>
      <c r="N17" s="84" t="s">
        <v>254</v>
      </c>
      <c r="O17" s="193" t="s">
        <v>640</v>
      </c>
      <c r="P17" s="194"/>
      <c r="Q17" s="194"/>
      <c r="R17" s="194"/>
      <c r="S17" s="194"/>
      <c r="T17" s="194"/>
      <c r="U17" s="195"/>
      <c r="V17" s="16"/>
    </row>
    <row r="18" spans="1:22" ht="36" customHeight="1" x14ac:dyDescent="0.4">
      <c r="A18" s="1"/>
      <c r="B18" s="79" t="s">
        <v>40</v>
      </c>
      <c r="C18" s="80" t="s">
        <v>202</v>
      </c>
      <c r="D18" s="89" t="s">
        <v>239</v>
      </c>
      <c r="E18" s="93">
        <v>400</v>
      </c>
      <c r="F18" s="82" t="s">
        <v>37</v>
      </c>
      <c r="G18" s="95">
        <v>10000</v>
      </c>
      <c r="H18" s="96">
        <v>120000</v>
      </c>
      <c r="I18" s="96">
        <v>11210</v>
      </c>
      <c r="J18" s="97">
        <v>13.5</v>
      </c>
      <c r="K18" s="98">
        <v>3.4000000000000002E-2</v>
      </c>
      <c r="L18" s="99">
        <v>0.41</v>
      </c>
      <c r="M18" s="100">
        <v>1E-3</v>
      </c>
      <c r="N18" s="84" t="s">
        <v>256</v>
      </c>
      <c r="O18" s="193" t="s">
        <v>641</v>
      </c>
      <c r="P18" s="194"/>
      <c r="Q18" s="194"/>
      <c r="R18" s="194"/>
      <c r="S18" s="194"/>
      <c r="T18" s="194"/>
      <c r="U18" s="195"/>
      <c r="V18" s="16"/>
    </row>
    <row r="19" spans="1:22" ht="36" customHeight="1" x14ac:dyDescent="0.4">
      <c r="A19" s="1"/>
      <c r="B19" s="79" t="s">
        <v>82</v>
      </c>
      <c r="C19" s="80" t="s">
        <v>202</v>
      </c>
      <c r="D19" s="90" t="s">
        <v>249</v>
      </c>
      <c r="E19" s="93">
        <v>250</v>
      </c>
      <c r="F19" s="82" t="s">
        <v>165</v>
      </c>
      <c r="G19" s="95">
        <v>20000</v>
      </c>
      <c r="H19" s="96">
        <v>240000</v>
      </c>
      <c r="I19" s="96">
        <v>3610</v>
      </c>
      <c r="J19" s="97">
        <v>8.6999999999999993</v>
      </c>
      <c r="K19" s="98">
        <v>3.5000000000000003E-2</v>
      </c>
      <c r="L19" s="99">
        <v>0.41</v>
      </c>
      <c r="M19" s="100">
        <v>1.6000000000000001E-3</v>
      </c>
      <c r="N19" s="84" t="s">
        <v>257</v>
      </c>
      <c r="O19" s="193" t="s">
        <v>258</v>
      </c>
      <c r="P19" s="194"/>
      <c r="Q19" s="194"/>
      <c r="R19" s="194"/>
      <c r="S19" s="194"/>
      <c r="T19" s="194"/>
      <c r="U19" s="195"/>
      <c r="V19" s="16"/>
    </row>
    <row r="20" spans="1:22" ht="36" customHeight="1" x14ac:dyDescent="0.4">
      <c r="A20" s="1"/>
      <c r="B20" s="79" t="s">
        <v>110</v>
      </c>
      <c r="C20" s="86" t="str">
        <f>C16</f>
        <v xml:space="preserve">런칭 검토 </v>
      </c>
      <c r="D20" s="87" t="s">
        <v>235</v>
      </c>
      <c r="E20" s="93">
        <v>175</v>
      </c>
      <c r="F20" s="82" t="s">
        <v>165</v>
      </c>
      <c r="G20" s="95">
        <v>10000</v>
      </c>
      <c r="H20" s="96">
        <v>120000</v>
      </c>
      <c r="I20" s="96">
        <v>5600</v>
      </c>
      <c r="J20" s="97">
        <v>6.7</v>
      </c>
      <c r="K20" s="98">
        <v>3.7999999999999999E-2</v>
      </c>
      <c r="L20" s="83" t="s">
        <v>25</v>
      </c>
      <c r="M20" s="83" t="s">
        <v>25</v>
      </c>
      <c r="N20" s="102" t="s">
        <v>634</v>
      </c>
      <c r="O20" s="193" t="s">
        <v>643</v>
      </c>
      <c r="P20" s="194"/>
      <c r="Q20" s="194"/>
      <c r="R20" s="194"/>
      <c r="S20" s="194"/>
      <c r="T20" s="194"/>
      <c r="U20" s="195"/>
      <c r="V20" s="16"/>
    </row>
    <row r="21" spans="1:22" ht="36" customHeight="1" x14ac:dyDescent="0.4">
      <c r="A21" s="1"/>
      <c r="B21" s="91" t="s">
        <v>627</v>
      </c>
      <c r="C21" s="92" t="s">
        <v>628</v>
      </c>
      <c r="D21" s="89" t="s">
        <v>239</v>
      </c>
      <c r="E21" s="94">
        <v>1250</v>
      </c>
      <c r="F21" s="82" t="s">
        <v>260</v>
      </c>
      <c r="G21" s="95">
        <v>2000</v>
      </c>
      <c r="H21" s="96">
        <v>24000</v>
      </c>
      <c r="I21" s="96">
        <v>5900</v>
      </c>
      <c r="J21" s="97">
        <v>1.4</v>
      </c>
      <c r="K21" s="98">
        <v>1E-3</v>
      </c>
      <c r="L21" s="99">
        <v>0.27</v>
      </c>
      <c r="M21" s="100">
        <v>2.0000000000000001E-4</v>
      </c>
      <c r="N21" s="84" t="s">
        <v>234</v>
      </c>
      <c r="O21" s="193" t="s">
        <v>263</v>
      </c>
      <c r="P21" s="194"/>
      <c r="Q21" s="194"/>
      <c r="R21" s="194"/>
      <c r="S21" s="194"/>
      <c r="T21" s="194"/>
      <c r="U21" s="195"/>
      <c r="V21" s="16"/>
    </row>
    <row r="22" spans="1:22" ht="36" customHeight="1" x14ac:dyDescent="0.4">
      <c r="A22" s="1"/>
      <c r="B22" s="79" t="s">
        <v>38</v>
      </c>
      <c r="C22" s="92" t="s">
        <v>628</v>
      </c>
      <c r="D22" s="89" t="s">
        <v>239</v>
      </c>
      <c r="E22" s="94">
        <v>2000</v>
      </c>
      <c r="F22" s="82" t="s">
        <v>264</v>
      </c>
      <c r="G22" s="95">
        <v>10000</v>
      </c>
      <c r="H22" s="96">
        <v>120000</v>
      </c>
      <c r="I22" s="96">
        <v>12250</v>
      </c>
      <c r="J22" s="97">
        <v>14.7</v>
      </c>
      <c r="K22" s="98">
        <v>7.0000000000000001E-3</v>
      </c>
      <c r="L22" s="83" t="s">
        <v>25</v>
      </c>
      <c r="M22" s="83" t="s">
        <v>25</v>
      </c>
      <c r="N22" s="102" t="s">
        <v>634</v>
      </c>
      <c r="O22" s="193" t="s">
        <v>642</v>
      </c>
      <c r="P22" s="194"/>
      <c r="Q22" s="194"/>
      <c r="R22" s="194"/>
      <c r="S22" s="194"/>
      <c r="T22" s="194"/>
      <c r="U22" s="195"/>
      <c r="V22" s="16"/>
    </row>
    <row r="23" spans="1:22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6"/>
    </row>
    <row r="24" spans="1:22" x14ac:dyDescent="0.4">
      <c r="A24" s="1"/>
      <c r="B24" s="197" t="s">
        <v>266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6"/>
    </row>
    <row r="25" spans="1:22" ht="18" customHeight="1" x14ac:dyDescent="0.4">
      <c r="A25" s="1"/>
      <c r="B25" s="192" t="s">
        <v>267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6"/>
    </row>
    <row r="26" spans="1:22" ht="18" customHeight="1" x14ac:dyDescent="0.4">
      <c r="A26" s="1"/>
      <c r="B26" s="192" t="s">
        <v>644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6"/>
    </row>
    <row r="27" spans="1:22" ht="18" customHeight="1" x14ac:dyDescent="0.4">
      <c r="A27" s="1"/>
      <c r="B27" s="192" t="s">
        <v>268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6"/>
    </row>
    <row r="28" spans="1:22" ht="18" customHeight="1" x14ac:dyDescent="0.4">
      <c r="A28" s="1"/>
      <c r="B28" s="192" t="s">
        <v>269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6"/>
    </row>
  </sheetData>
  <mergeCells count="22">
    <mergeCell ref="B9:U9"/>
    <mergeCell ref="B26:U26"/>
    <mergeCell ref="B28:U28"/>
    <mergeCell ref="B2:U2"/>
    <mergeCell ref="O16:U16"/>
    <mergeCell ref="O12:U12"/>
    <mergeCell ref="O21:U21"/>
    <mergeCell ref="O15:U15"/>
    <mergeCell ref="O17:U17"/>
    <mergeCell ref="B6:U6"/>
    <mergeCell ref="O19:U19"/>
    <mergeCell ref="O13:U13"/>
    <mergeCell ref="O18:U18"/>
    <mergeCell ref="B27:U27"/>
    <mergeCell ref="B3:U3"/>
    <mergeCell ref="B4:U4"/>
    <mergeCell ref="B25:U25"/>
    <mergeCell ref="O22:U22"/>
    <mergeCell ref="O20:U20"/>
    <mergeCell ref="O11:U11"/>
    <mergeCell ref="B24:U24"/>
    <mergeCell ref="O14:U14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2"/>
  <sheetViews>
    <sheetView showGridLines="0" tabSelected="1" zoomScale="115" zoomScaleNormal="115" workbookViewId="0">
      <selection activeCell="D10" sqref="D10:E10"/>
    </sheetView>
  </sheetViews>
  <sheetFormatPr defaultRowHeight="17.399999999999999" x14ac:dyDescent="0.4"/>
  <cols>
    <col min="1" max="1" width="3" customWidth="1"/>
    <col min="2" max="2" width="6" customWidth="1"/>
    <col min="3" max="3" width="13" customWidth="1"/>
    <col min="4" max="4" width="26" customWidth="1"/>
    <col min="5" max="5" width="11" customWidth="1"/>
    <col min="6" max="7" width="10" customWidth="1"/>
    <col min="8" max="12" width="9" customWidth="1"/>
    <col min="13" max="16" width="10" customWidth="1"/>
  </cols>
  <sheetData>
    <row r="1" spans="1:17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6"/>
    </row>
    <row r="2" spans="1:17" ht="34.200000000000003" x14ac:dyDescent="0.8">
      <c r="A2" s="1"/>
      <c r="B2" s="183" t="s">
        <v>645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6"/>
    </row>
    <row r="3" spans="1:17" x14ac:dyDescent="0.4">
      <c r="A3" s="1"/>
      <c r="B3" s="187" t="s">
        <v>270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6"/>
    </row>
    <row r="4" spans="1:17" x14ac:dyDescent="0.4">
      <c r="A4" s="1"/>
      <c r="B4" s="211" t="s">
        <v>646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6"/>
    </row>
    <row r="5" spans="1:17" ht="25.95" customHeight="1" x14ac:dyDescent="0.45">
      <c r="A5" s="1"/>
      <c r="B5" s="189" t="s">
        <v>655</v>
      </c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6"/>
    </row>
    <row r="6" spans="1:17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6"/>
    </row>
    <row r="7" spans="1:17" x14ac:dyDescent="0.4">
      <c r="A7" s="1"/>
      <c r="B7" s="205" t="s">
        <v>271</v>
      </c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6"/>
    </row>
    <row r="8" spans="1:17" ht="22.05" customHeight="1" x14ac:dyDescent="0.4">
      <c r="A8" s="1"/>
      <c r="B8" s="78" t="s">
        <v>143</v>
      </c>
      <c r="C8" s="78" t="s">
        <v>26</v>
      </c>
      <c r="D8" s="196" t="s">
        <v>272</v>
      </c>
      <c r="E8" s="195"/>
      <c r="F8" s="78" t="s">
        <v>273</v>
      </c>
      <c r="G8" s="78" t="s">
        <v>274</v>
      </c>
      <c r="H8" s="78" t="s">
        <v>275</v>
      </c>
      <c r="I8" s="196" t="s">
        <v>276</v>
      </c>
      <c r="J8" s="195"/>
      <c r="K8" s="196" t="s">
        <v>102</v>
      </c>
      <c r="L8" s="195"/>
      <c r="M8" s="196" t="s">
        <v>649</v>
      </c>
      <c r="N8" s="194"/>
      <c r="O8" s="194"/>
      <c r="P8" s="195"/>
      <c r="Q8" s="227" t="s">
        <v>772</v>
      </c>
    </row>
    <row r="9" spans="1:17" ht="22.05" customHeight="1" x14ac:dyDescent="0.4">
      <c r="A9" s="1"/>
      <c r="B9" s="103" t="s">
        <v>147</v>
      </c>
      <c r="C9" s="103" t="s">
        <v>229</v>
      </c>
      <c r="D9" s="206" t="s">
        <v>277</v>
      </c>
      <c r="E9" s="195"/>
      <c r="F9" s="103" t="s">
        <v>230</v>
      </c>
      <c r="G9" s="103" t="s">
        <v>231</v>
      </c>
      <c r="H9" s="103" t="s">
        <v>232</v>
      </c>
      <c r="I9" s="208" t="s">
        <v>278</v>
      </c>
      <c r="J9" s="195"/>
      <c r="K9" s="208" t="s">
        <v>279</v>
      </c>
      <c r="L9" s="195"/>
      <c r="M9" s="199" t="s">
        <v>650</v>
      </c>
      <c r="N9" s="194"/>
      <c r="O9" s="194"/>
      <c r="P9" s="195"/>
      <c r="Q9" s="16" t="s">
        <v>773</v>
      </c>
    </row>
    <row r="10" spans="1:17" ht="22.05" customHeight="1" x14ac:dyDescent="0.4">
      <c r="A10" s="1"/>
      <c r="B10" s="104" t="s">
        <v>149</v>
      </c>
      <c r="C10" s="79" t="s">
        <v>32</v>
      </c>
      <c r="D10" s="193" t="s">
        <v>280</v>
      </c>
      <c r="E10" s="195"/>
      <c r="F10" s="104" t="s">
        <v>246</v>
      </c>
      <c r="G10" s="104" t="s">
        <v>247</v>
      </c>
      <c r="H10" s="104" t="s">
        <v>281</v>
      </c>
      <c r="I10" s="200" t="s">
        <v>282</v>
      </c>
      <c r="J10" s="195"/>
      <c r="K10" s="200" t="s">
        <v>283</v>
      </c>
      <c r="L10" s="195"/>
      <c r="M10" s="202" t="s">
        <v>651</v>
      </c>
      <c r="N10" s="194"/>
      <c r="O10" s="194"/>
      <c r="P10" s="195"/>
      <c r="Q10" s="74" t="s">
        <v>774</v>
      </c>
    </row>
    <row r="11" spans="1:17" ht="22.05" customHeight="1" x14ac:dyDescent="0.4">
      <c r="A11" s="1"/>
      <c r="B11" s="104" t="s">
        <v>151</v>
      </c>
      <c r="C11" s="79" t="s">
        <v>284</v>
      </c>
      <c r="D11" s="193" t="s">
        <v>285</v>
      </c>
      <c r="E11" s="195"/>
      <c r="F11" s="104" t="s">
        <v>237</v>
      </c>
      <c r="G11" s="104" t="s">
        <v>238</v>
      </c>
      <c r="H11" s="104" t="s">
        <v>286</v>
      </c>
      <c r="I11" s="200" t="s">
        <v>287</v>
      </c>
      <c r="J11" s="195"/>
      <c r="K11" s="200" t="s">
        <v>233</v>
      </c>
      <c r="L11" s="195"/>
      <c r="M11" s="202" t="s">
        <v>652</v>
      </c>
      <c r="N11" s="194"/>
      <c r="O11" s="194"/>
      <c r="P11" s="195"/>
      <c r="Q11" s="74" t="s">
        <v>774</v>
      </c>
    </row>
    <row r="12" spans="1:17" ht="22.05" customHeight="1" x14ac:dyDescent="0.4">
      <c r="A12" s="1"/>
      <c r="B12" s="104" t="s">
        <v>154</v>
      </c>
      <c r="C12" s="79" t="s">
        <v>260</v>
      </c>
      <c r="D12" s="193" t="s">
        <v>288</v>
      </c>
      <c r="E12" s="195"/>
      <c r="F12" s="104" t="s">
        <v>237</v>
      </c>
      <c r="G12" s="104" t="s">
        <v>238</v>
      </c>
      <c r="H12" s="104" t="s">
        <v>289</v>
      </c>
      <c r="I12" s="200" t="s">
        <v>290</v>
      </c>
      <c r="J12" s="195"/>
      <c r="K12" s="200" t="s">
        <v>291</v>
      </c>
      <c r="L12" s="195"/>
      <c r="M12" s="202" t="s">
        <v>653</v>
      </c>
      <c r="N12" s="194"/>
      <c r="O12" s="194"/>
      <c r="P12" s="195"/>
      <c r="Q12" s="74" t="s">
        <v>773</v>
      </c>
    </row>
    <row r="13" spans="1:17" ht="22.05" customHeight="1" x14ac:dyDescent="0.4">
      <c r="A13" s="1"/>
      <c r="B13" s="104" t="s">
        <v>156</v>
      </c>
      <c r="C13" s="79" t="s">
        <v>292</v>
      </c>
      <c r="D13" s="193" t="s">
        <v>293</v>
      </c>
      <c r="E13" s="195"/>
      <c r="F13" s="104" t="s">
        <v>294</v>
      </c>
      <c r="G13" s="104" t="s">
        <v>295</v>
      </c>
      <c r="H13" s="104" t="s">
        <v>296</v>
      </c>
      <c r="I13" s="200" t="s">
        <v>297</v>
      </c>
      <c r="J13" s="195"/>
      <c r="K13" s="200" t="s">
        <v>298</v>
      </c>
      <c r="L13" s="195"/>
      <c r="M13" s="202" t="s">
        <v>654</v>
      </c>
      <c r="N13" s="194"/>
      <c r="O13" s="194"/>
      <c r="P13" s="195"/>
      <c r="Q13" s="74" t="s">
        <v>775</v>
      </c>
    </row>
    <row r="14" spans="1:17" s="71" customFormat="1" ht="22.05" customHeight="1" x14ac:dyDescent="0.4">
      <c r="A14" s="72"/>
      <c r="B14" s="222" t="s">
        <v>757</v>
      </c>
      <c r="C14" s="226" t="s">
        <v>762</v>
      </c>
      <c r="D14" s="224" t="s">
        <v>763</v>
      </c>
      <c r="E14" s="225"/>
      <c r="F14" s="222" t="s">
        <v>294</v>
      </c>
      <c r="G14" s="222">
        <f>F14*12</f>
        <v>84000</v>
      </c>
      <c r="H14" s="222">
        <v>19880</v>
      </c>
      <c r="I14" s="200"/>
      <c r="J14" s="195"/>
      <c r="K14" s="200"/>
      <c r="L14" s="195"/>
      <c r="M14" s="202"/>
      <c r="N14" s="194"/>
      <c r="O14" s="194"/>
      <c r="P14" s="195"/>
      <c r="Q14" s="74" t="s">
        <v>774</v>
      </c>
    </row>
    <row r="15" spans="1:17" s="71" customFormat="1" ht="22.05" customHeight="1" x14ac:dyDescent="0.4">
      <c r="A15" s="72"/>
      <c r="B15" s="222" t="s">
        <v>758</v>
      </c>
      <c r="C15" s="226" t="s">
        <v>764</v>
      </c>
      <c r="D15" s="224" t="s">
        <v>765</v>
      </c>
      <c r="E15" s="225"/>
      <c r="F15" s="222">
        <v>5000</v>
      </c>
      <c r="G15" s="222">
        <f>F15*12</f>
        <v>60000</v>
      </c>
      <c r="H15" s="222">
        <v>8500</v>
      </c>
      <c r="I15" s="200"/>
      <c r="J15" s="195"/>
      <c r="K15" s="200"/>
      <c r="L15" s="195"/>
      <c r="M15" s="202"/>
      <c r="N15" s="194"/>
      <c r="O15" s="194"/>
      <c r="P15" s="195"/>
      <c r="Q15" s="74" t="s">
        <v>773</v>
      </c>
    </row>
    <row r="16" spans="1:17" s="71" customFormat="1" ht="22.05" customHeight="1" x14ac:dyDescent="0.4">
      <c r="A16" s="72"/>
      <c r="B16" s="222" t="s">
        <v>759</v>
      </c>
      <c r="C16" s="226" t="s">
        <v>766</v>
      </c>
      <c r="D16" s="224" t="s">
        <v>767</v>
      </c>
      <c r="E16" s="225"/>
      <c r="F16" s="222">
        <v>9000</v>
      </c>
      <c r="G16" s="222">
        <f>F16*12</f>
        <v>108000</v>
      </c>
      <c r="H16" s="222">
        <v>15900</v>
      </c>
      <c r="I16" s="200"/>
      <c r="J16" s="195"/>
      <c r="K16" s="200"/>
      <c r="L16" s="195"/>
      <c r="M16" s="202"/>
      <c r="N16" s="194"/>
      <c r="O16" s="194"/>
      <c r="P16" s="195"/>
      <c r="Q16" s="74" t="s">
        <v>775</v>
      </c>
    </row>
    <row r="17" spans="1:17" s="71" customFormat="1" ht="22.05" customHeight="1" x14ac:dyDescent="0.4">
      <c r="A17" s="72"/>
      <c r="B17" s="222" t="s">
        <v>760</v>
      </c>
      <c r="C17" s="226" t="s">
        <v>768</v>
      </c>
      <c r="D17" s="224" t="s">
        <v>769</v>
      </c>
      <c r="E17" s="225"/>
      <c r="F17" s="222">
        <v>2000</v>
      </c>
      <c r="G17" s="222">
        <f t="shared" ref="G17:G18" si="0">F17*12</f>
        <v>24000</v>
      </c>
      <c r="H17" s="222">
        <v>8670</v>
      </c>
      <c r="I17" s="200"/>
      <c r="J17" s="195"/>
      <c r="K17" s="200"/>
      <c r="L17" s="195"/>
      <c r="M17" s="202"/>
      <c r="N17" s="194"/>
      <c r="O17" s="194"/>
      <c r="P17" s="195"/>
      <c r="Q17" s="74" t="s">
        <v>775</v>
      </c>
    </row>
    <row r="18" spans="1:17" s="71" customFormat="1" ht="22.05" customHeight="1" x14ac:dyDescent="0.4">
      <c r="A18" s="72"/>
      <c r="B18" s="222" t="s">
        <v>761</v>
      </c>
      <c r="C18" s="226" t="s">
        <v>770</v>
      </c>
      <c r="D18" s="224" t="s">
        <v>771</v>
      </c>
      <c r="E18" s="225"/>
      <c r="F18" s="222">
        <v>1000</v>
      </c>
      <c r="G18" s="222">
        <f t="shared" si="0"/>
        <v>12000</v>
      </c>
      <c r="H18" s="222">
        <v>14890</v>
      </c>
      <c r="I18" s="200"/>
      <c r="J18" s="195"/>
      <c r="K18" s="200"/>
      <c r="L18" s="195"/>
      <c r="M18" s="202"/>
      <c r="N18" s="194"/>
      <c r="O18" s="194"/>
      <c r="P18" s="195"/>
      <c r="Q18" s="74" t="s">
        <v>773</v>
      </c>
    </row>
    <row r="19" spans="1:17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6"/>
    </row>
    <row r="20" spans="1:17" ht="25.95" customHeight="1" x14ac:dyDescent="0.4">
      <c r="A20" s="1"/>
      <c r="B20" s="204" t="s">
        <v>647</v>
      </c>
      <c r="C20" s="170"/>
      <c r="D20" s="201" t="s">
        <v>648</v>
      </c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70"/>
      <c r="Q20" s="16"/>
    </row>
    <row r="21" spans="1:17" ht="30" customHeight="1" x14ac:dyDescent="0.4">
      <c r="A21" s="1"/>
      <c r="B21" s="207" t="s">
        <v>675</v>
      </c>
      <c r="C21" s="170"/>
      <c r="D21" s="188" t="s">
        <v>299</v>
      </c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16"/>
    </row>
    <row r="22" spans="1:17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6"/>
    </row>
    <row r="23" spans="1:17" ht="25.95" customHeight="1" x14ac:dyDescent="0.45">
      <c r="A23" s="1"/>
      <c r="B23" s="189" t="s">
        <v>656</v>
      </c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6"/>
    </row>
    <row r="24" spans="1:17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6"/>
    </row>
    <row r="25" spans="1:17" x14ac:dyDescent="0.4">
      <c r="A25" s="1"/>
      <c r="B25" s="205" t="s">
        <v>271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6"/>
    </row>
    <row r="26" spans="1:17" ht="22.05" customHeight="1" x14ac:dyDescent="0.4">
      <c r="A26" s="1"/>
      <c r="B26" s="78" t="s">
        <v>143</v>
      </c>
      <c r="C26" s="78" t="s">
        <v>26</v>
      </c>
      <c r="D26" s="196" t="s">
        <v>272</v>
      </c>
      <c r="E26" s="195"/>
      <c r="F26" s="78" t="s">
        <v>273</v>
      </c>
      <c r="G26" s="78" t="s">
        <v>274</v>
      </c>
      <c r="H26" s="78" t="s">
        <v>275</v>
      </c>
      <c r="I26" s="196" t="s">
        <v>276</v>
      </c>
      <c r="J26" s="195"/>
      <c r="K26" s="196" t="s">
        <v>102</v>
      </c>
      <c r="L26" s="195"/>
      <c r="M26" s="196" t="s">
        <v>657</v>
      </c>
      <c r="N26" s="194"/>
      <c r="O26" s="194"/>
      <c r="P26" s="195"/>
      <c r="Q26" s="16"/>
    </row>
    <row r="27" spans="1:17" ht="22.05" customHeight="1" x14ac:dyDescent="0.4">
      <c r="A27" s="1"/>
      <c r="B27" s="103" t="s">
        <v>147</v>
      </c>
      <c r="C27" s="103" t="s">
        <v>236</v>
      </c>
      <c r="D27" s="206" t="s">
        <v>300</v>
      </c>
      <c r="E27" s="195"/>
      <c r="F27" s="103" t="s">
        <v>237</v>
      </c>
      <c r="G27" s="103" t="s">
        <v>238</v>
      </c>
      <c r="H27" s="103" t="s">
        <v>227</v>
      </c>
      <c r="I27" s="208" t="s">
        <v>301</v>
      </c>
      <c r="J27" s="195"/>
      <c r="K27" s="208" t="s">
        <v>302</v>
      </c>
      <c r="L27" s="195"/>
      <c r="M27" s="199"/>
      <c r="N27" s="194"/>
      <c r="O27" s="194"/>
      <c r="P27" s="195"/>
      <c r="Q27" s="16"/>
    </row>
    <row r="28" spans="1:17" ht="22.05" customHeight="1" x14ac:dyDescent="0.4">
      <c r="A28" s="1"/>
      <c r="B28" s="104" t="s">
        <v>149</v>
      </c>
      <c r="C28" s="79" t="s">
        <v>157</v>
      </c>
      <c r="D28" s="193" t="s">
        <v>303</v>
      </c>
      <c r="E28" s="195"/>
      <c r="F28" s="104" t="s">
        <v>304</v>
      </c>
      <c r="G28" s="104" t="s">
        <v>305</v>
      </c>
      <c r="H28" s="104" t="s">
        <v>306</v>
      </c>
      <c r="I28" s="200" t="s">
        <v>307</v>
      </c>
      <c r="J28" s="195"/>
      <c r="K28" s="200" t="s">
        <v>308</v>
      </c>
      <c r="L28" s="195"/>
      <c r="M28" s="202"/>
      <c r="N28" s="194"/>
      <c r="O28" s="194"/>
      <c r="P28" s="195"/>
      <c r="Q28" s="16"/>
    </row>
    <row r="29" spans="1:17" ht="22.05" customHeight="1" x14ac:dyDescent="0.4">
      <c r="A29" s="1"/>
      <c r="B29" s="104" t="s">
        <v>151</v>
      </c>
      <c r="C29" s="79" t="s">
        <v>28</v>
      </c>
      <c r="D29" s="193" t="s">
        <v>309</v>
      </c>
      <c r="E29" s="195"/>
      <c r="F29" s="104" t="s">
        <v>304</v>
      </c>
      <c r="G29" s="104" t="s">
        <v>305</v>
      </c>
      <c r="H29" s="104" t="s">
        <v>262</v>
      </c>
      <c r="I29" s="200" t="s">
        <v>310</v>
      </c>
      <c r="J29" s="195"/>
      <c r="K29" s="200" t="s">
        <v>311</v>
      </c>
      <c r="L29" s="195"/>
      <c r="M29" s="202"/>
      <c r="N29" s="194"/>
      <c r="O29" s="194"/>
      <c r="P29" s="195"/>
      <c r="Q29" s="16"/>
    </row>
    <row r="30" spans="1:17" ht="22.05" customHeight="1" x14ac:dyDescent="0.4">
      <c r="A30" s="1"/>
      <c r="B30" s="104" t="s">
        <v>154</v>
      </c>
      <c r="C30" s="79" t="s">
        <v>312</v>
      </c>
      <c r="D30" s="193" t="s">
        <v>313</v>
      </c>
      <c r="E30" s="195"/>
      <c r="F30" s="104" t="s">
        <v>97</v>
      </c>
      <c r="G30" s="104" t="s">
        <v>314</v>
      </c>
      <c r="H30" s="104" t="s">
        <v>315</v>
      </c>
      <c r="I30" s="200" t="s">
        <v>316</v>
      </c>
      <c r="J30" s="195"/>
      <c r="K30" s="200" t="s">
        <v>317</v>
      </c>
      <c r="L30" s="195"/>
      <c r="M30" s="202"/>
      <c r="N30" s="194"/>
      <c r="O30" s="194"/>
      <c r="P30" s="195"/>
      <c r="Q30" s="16"/>
    </row>
    <row r="31" spans="1:17" ht="22.05" customHeight="1" x14ac:dyDescent="0.4">
      <c r="A31" s="1"/>
      <c r="B31" s="104" t="s">
        <v>156</v>
      </c>
      <c r="C31" s="79" t="s">
        <v>28</v>
      </c>
      <c r="D31" s="193" t="s">
        <v>318</v>
      </c>
      <c r="E31" s="195"/>
      <c r="F31" s="104" t="s">
        <v>97</v>
      </c>
      <c r="G31" s="104" t="s">
        <v>314</v>
      </c>
      <c r="H31" s="104" t="s">
        <v>319</v>
      </c>
      <c r="I31" s="200" t="s">
        <v>320</v>
      </c>
      <c r="J31" s="195"/>
      <c r="K31" s="200" t="s">
        <v>321</v>
      </c>
      <c r="L31" s="195"/>
      <c r="M31" s="202"/>
      <c r="N31" s="194"/>
      <c r="O31" s="194"/>
      <c r="P31" s="195"/>
      <c r="Q31" s="16"/>
    </row>
    <row r="32" spans="1:17" s="71" customFormat="1" ht="22.05" customHeight="1" x14ac:dyDescent="0.4">
      <c r="A32" s="72"/>
      <c r="B32" s="222" t="s">
        <v>757</v>
      </c>
      <c r="C32" s="223"/>
      <c r="D32" s="224"/>
      <c r="E32" s="225"/>
      <c r="F32" s="222"/>
      <c r="G32" s="222">
        <f>F32*12</f>
        <v>0</v>
      </c>
      <c r="H32" s="222"/>
      <c r="I32" s="200"/>
      <c r="J32" s="195"/>
      <c r="K32" s="200"/>
      <c r="L32" s="195"/>
      <c r="M32" s="202"/>
      <c r="N32" s="194"/>
      <c r="O32" s="194"/>
      <c r="P32" s="195"/>
      <c r="Q32" s="74"/>
    </row>
    <row r="33" spans="1:17" s="71" customFormat="1" ht="22.05" customHeight="1" x14ac:dyDescent="0.4">
      <c r="A33" s="72"/>
      <c r="B33" s="222" t="s">
        <v>776</v>
      </c>
      <c r="C33" s="223"/>
      <c r="D33" s="224"/>
      <c r="E33" s="225"/>
      <c r="F33" s="222"/>
      <c r="G33" s="222">
        <f t="shared" ref="G33:G36" si="1">F33*12</f>
        <v>0</v>
      </c>
      <c r="H33" s="222"/>
      <c r="I33" s="200"/>
      <c r="J33" s="195"/>
      <c r="K33" s="200"/>
      <c r="L33" s="195"/>
      <c r="M33" s="202"/>
      <c r="N33" s="194"/>
      <c r="O33" s="194"/>
      <c r="P33" s="195"/>
      <c r="Q33" s="74"/>
    </row>
    <row r="34" spans="1:17" s="71" customFormat="1" ht="22.05" customHeight="1" x14ac:dyDescent="0.4">
      <c r="A34" s="72"/>
      <c r="B34" s="222" t="s">
        <v>777</v>
      </c>
      <c r="C34" s="223"/>
      <c r="D34" s="224"/>
      <c r="E34" s="225"/>
      <c r="F34" s="222"/>
      <c r="G34" s="222">
        <f t="shared" si="1"/>
        <v>0</v>
      </c>
      <c r="H34" s="222"/>
      <c r="I34" s="200"/>
      <c r="J34" s="195"/>
      <c r="K34" s="200"/>
      <c r="L34" s="195"/>
      <c r="M34" s="202"/>
      <c r="N34" s="194"/>
      <c r="O34" s="194"/>
      <c r="P34" s="195"/>
      <c r="Q34" s="74"/>
    </row>
    <row r="35" spans="1:17" s="71" customFormat="1" ht="22.05" customHeight="1" x14ac:dyDescent="0.4">
      <c r="A35" s="72"/>
      <c r="B35" s="222" t="s">
        <v>778</v>
      </c>
      <c r="C35" s="223"/>
      <c r="D35" s="224"/>
      <c r="E35" s="225"/>
      <c r="F35" s="222"/>
      <c r="G35" s="222">
        <f t="shared" si="1"/>
        <v>0</v>
      </c>
      <c r="H35" s="222"/>
      <c r="I35" s="200"/>
      <c r="J35" s="195"/>
      <c r="K35" s="200"/>
      <c r="L35" s="195"/>
      <c r="M35" s="202"/>
      <c r="N35" s="194"/>
      <c r="O35" s="194"/>
      <c r="P35" s="195"/>
      <c r="Q35" s="74"/>
    </row>
    <row r="36" spans="1:17" s="71" customFormat="1" ht="22.05" customHeight="1" x14ac:dyDescent="0.4">
      <c r="A36" s="72"/>
      <c r="B36" s="222" t="s">
        <v>779</v>
      </c>
      <c r="C36" s="223"/>
      <c r="D36" s="224"/>
      <c r="E36" s="225"/>
      <c r="F36" s="222"/>
      <c r="G36" s="222">
        <f t="shared" si="1"/>
        <v>0</v>
      </c>
      <c r="H36" s="222"/>
      <c r="I36" s="200"/>
      <c r="J36" s="195"/>
      <c r="K36" s="200"/>
      <c r="L36" s="195"/>
      <c r="M36" s="202"/>
      <c r="N36" s="194"/>
      <c r="O36" s="194"/>
      <c r="P36" s="195"/>
      <c r="Q36" s="74"/>
    </row>
    <row r="37" spans="1:17" s="71" customFormat="1" ht="22.05" customHeight="1" x14ac:dyDescent="0.4">
      <c r="A37" s="72"/>
      <c r="B37" s="216"/>
      <c r="C37" s="217"/>
      <c r="D37" s="218"/>
      <c r="E37" s="219"/>
      <c r="F37" s="216"/>
      <c r="G37" s="216"/>
      <c r="H37" s="216"/>
      <c r="I37" s="220"/>
      <c r="J37" s="219"/>
      <c r="K37" s="220"/>
      <c r="L37" s="219"/>
      <c r="M37" s="221"/>
      <c r="N37" s="219"/>
      <c r="O37" s="219"/>
      <c r="P37" s="219"/>
      <c r="Q37" s="74"/>
    </row>
    <row r="38" spans="1:17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6"/>
    </row>
    <row r="39" spans="1:17" ht="25.95" customHeight="1" x14ac:dyDescent="0.4">
      <c r="A39" s="1"/>
      <c r="B39" s="204" t="s">
        <v>647</v>
      </c>
      <c r="C39" s="170"/>
      <c r="D39" s="201" t="s">
        <v>658</v>
      </c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70"/>
      <c r="Q39" s="16"/>
    </row>
    <row r="40" spans="1:17" ht="30" customHeight="1" x14ac:dyDescent="0.4">
      <c r="A40" s="1"/>
      <c r="B40" s="207" t="s">
        <v>675</v>
      </c>
      <c r="C40" s="170"/>
      <c r="D40" s="188" t="s">
        <v>322</v>
      </c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70"/>
      <c r="Q40" s="16"/>
    </row>
    <row r="41" spans="1:17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6"/>
    </row>
    <row r="42" spans="1:17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6"/>
    </row>
    <row r="43" spans="1:17" ht="25.95" customHeight="1" x14ac:dyDescent="0.45">
      <c r="A43" s="1"/>
      <c r="B43" s="189" t="s">
        <v>659</v>
      </c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6"/>
    </row>
    <row r="44" spans="1:17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6"/>
    </row>
    <row r="45" spans="1:17" x14ac:dyDescent="0.4">
      <c r="A45" s="1"/>
      <c r="B45" s="205" t="s">
        <v>271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6"/>
    </row>
    <row r="46" spans="1:17" ht="22.05" customHeight="1" x14ac:dyDescent="0.4">
      <c r="A46" s="1"/>
      <c r="B46" s="78" t="s">
        <v>143</v>
      </c>
      <c r="C46" s="78" t="s">
        <v>26</v>
      </c>
      <c r="D46" s="196" t="s">
        <v>272</v>
      </c>
      <c r="E46" s="195"/>
      <c r="F46" s="78" t="s">
        <v>273</v>
      </c>
      <c r="G46" s="78" t="s">
        <v>274</v>
      </c>
      <c r="H46" s="78" t="s">
        <v>275</v>
      </c>
      <c r="I46" s="196" t="s">
        <v>276</v>
      </c>
      <c r="J46" s="195"/>
      <c r="K46" s="196" t="s">
        <v>102</v>
      </c>
      <c r="L46" s="195"/>
      <c r="M46" s="196" t="s">
        <v>660</v>
      </c>
      <c r="N46" s="194"/>
      <c r="O46" s="194"/>
      <c r="P46" s="195"/>
      <c r="Q46" s="16"/>
    </row>
    <row r="47" spans="1:17" ht="22.05" customHeight="1" x14ac:dyDescent="0.4">
      <c r="A47" s="1"/>
      <c r="B47" s="103" t="s">
        <v>147</v>
      </c>
      <c r="C47" s="103" t="s">
        <v>165</v>
      </c>
      <c r="D47" s="206" t="s">
        <v>323</v>
      </c>
      <c r="E47" s="195"/>
      <c r="F47" s="105">
        <v>20000</v>
      </c>
      <c r="G47" s="105">
        <v>240000</v>
      </c>
      <c r="H47" s="105">
        <v>3610</v>
      </c>
      <c r="I47" s="208" t="s">
        <v>324</v>
      </c>
      <c r="J47" s="195"/>
      <c r="K47" s="208" t="s">
        <v>325</v>
      </c>
      <c r="L47" s="195"/>
      <c r="M47" s="199" t="s">
        <v>661</v>
      </c>
      <c r="N47" s="194"/>
      <c r="O47" s="194"/>
      <c r="P47" s="195"/>
      <c r="Q47" s="16"/>
    </row>
    <row r="48" spans="1:17" ht="22.05" customHeight="1" x14ac:dyDescent="0.4">
      <c r="A48" s="1"/>
      <c r="B48" s="104" t="s">
        <v>149</v>
      </c>
      <c r="C48" s="79" t="s">
        <v>165</v>
      </c>
      <c r="D48" s="193" t="s">
        <v>326</v>
      </c>
      <c r="E48" s="195"/>
      <c r="F48" s="106">
        <v>6000</v>
      </c>
      <c r="G48" s="106">
        <v>72000</v>
      </c>
      <c r="H48" s="106">
        <v>8510</v>
      </c>
      <c r="I48" s="200" t="s">
        <v>327</v>
      </c>
      <c r="J48" s="195"/>
      <c r="K48" s="200" t="s">
        <v>328</v>
      </c>
      <c r="L48" s="195"/>
      <c r="M48" s="202" t="s">
        <v>662</v>
      </c>
      <c r="N48" s="194"/>
      <c r="O48" s="194"/>
      <c r="P48" s="195"/>
      <c r="Q48" s="16"/>
    </row>
    <row r="49" spans="1:17" ht="22.05" customHeight="1" x14ac:dyDescent="0.4">
      <c r="A49" s="1"/>
      <c r="B49" s="104" t="s">
        <v>151</v>
      </c>
      <c r="C49" s="79" t="s">
        <v>329</v>
      </c>
      <c r="D49" s="193" t="s">
        <v>330</v>
      </c>
      <c r="E49" s="195"/>
      <c r="F49" s="106">
        <v>5000</v>
      </c>
      <c r="G49" s="106">
        <v>60000</v>
      </c>
      <c r="H49" s="106">
        <v>3400</v>
      </c>
      <c r="I49" s="200" t="s">
        <v>333</v>
      </c>
      <c r="J49" s="195"/>
      <c r="K49" s="200" t="s">
        <v>334</v>
      </c>
      <c r="L49" s="195"/>
      <c r="M49" s="202" t="s">
        <v>663</v>
      </c>
      <c r="N49" s="194"/>
      <c r="O49" s="194"/>
      <c r="P49" s="195"/>
      <c r="Q49" s="16"/>
    </row>
    <row r="50" spans="1:17" ht="22.05" customHeight="1" x14ac:dyDescent="0.4">
      <c r="A50" s="1"/>
      <c r="B50" s="104" t="s">
        <v>154</v>
      </c>
      <c r="C50" s="79" t="s">
        <v>335</v>
      </c>
      <c r="D50" s="193" t="s">
        <v>336</v>
      </c>
      <c r="E50" s="195"/>
      <c r="F50" s="106">
        <v>5000</v>
      </c>
      <c r="G50" s="106">
        <v>60000</v>
      </c>
      <c r="H50" s="106">
        <v>26910</v>
      </c>
      <c r="I50" s="200" t="s">
        <v>337</v>
      </c>
      <c r="J50" s="195"/>
      <c r="K50" s="200" t="s">
        <v>338</v>
      </c>
      <c r="L50" s="195"/>
      <c r="M50" s="202" t="s">
        <v>664</v>
      </c>
      <c r="N50" s="194"/>
      <c r="O50" s="194"/>
      <c r="P50" s="195"/>
      <c r="Q50" s="16"/>
    </row>
    <row r="51" spans="1:17" ht="22.05" customHeight="1" x14ac:dyDescent="0.4">
      <c r="A51" s="1"/>
      <c r="B51" s="104" t="s">
        <v>156</v>
      </c>
      <c r="C51" s="79" t="s">
        <v>339</v>
      </c>
      <c r="D51" s="193" t="s">
        <v>340</v>
      </c>
      <c r="E51" s="195"/>
      <c r="F51" s="106">
        <v>3000</v>
      </c>
      <c r="G51" s="106">
        <v>36000</v>
      </c>
      <c r="H51" s="106">
        <v>10680</v>
      </c>
      <c r="I51" s="200" t="s">
        <v>341</v>
      </c>
      <c r="J51" s="195"/>
      <c r="K51" s="200" t="s">
        <v>342</v>
      </c>
      <c r="L51" s="195"/>
      <c r="M51" s="202" t="s">
        <v>665</v>
      </c>
      <c r="N51" s="194"/>
      <c r="O51" s="194"/>
      <c r="P51" s="195"/>
      <c r="Q51" s="16"/>
    </row>
    <row r="52" spans="1:17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6"/>
    </row>
    <row r="53" spans="1:17" ht="25.95" customHeight="1" x14ac:dyDescent="0.4">
      <c r="A53" s="1"/>
      <c r="B53" s="204" t="s">
        <v>647</v>
      </c>
      <c r="C53" s="170"/>
      <c r="D53" s="201" t="s">
        <v>666</v>
      </c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70"/>
      <c r="Q53" s="16"/>
    </row>
    <row r="54" spans="1:17" ht="30" customHeight="1" x14ac:dyDescent="0.4">
      <c r="A54" s="1"/>
      <c r="B54" s="207" t="s">
        <v>675</v>
      </c>
      <c r="C54" s="170"/>
      <c r="D54" s="188" t="s">
        <v>343</v>
      </c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70"/>
      <c r="Q54" s="16"/>
    </row>
    <row r="55" spans="1:17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6"/>
    </row>
    <row r="56" spans="1:17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6"/>
    </row>
    <row r="57" spans="1:17" ht="25.95" customHeight="1" x14ac:dyDescent="0.45">
      <c r="A57" s="1"/>
      <c r="B57" s="189" t="s">
        <v>667</v>
      </c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6"/>
    </row>
    <row r="58" spans="1:17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6"/>
    </row>
    <row r="59" spans="1:17" x14ac:dyDescent="0.4">
      <c r="A59" s="1"/>
      <c r="B59" s="205" t="s">
        <v>271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6"/>
    </row>
    <row r="60" spans="1:17" ht="22.05" customHeight="1" x14ac:dyDescent="0.4">
      <c r="A60" s="1"/>
      <c r="B60" s="78" t="s">
        <v>143</v>
      </c>
      <c r="C60" s="78" t="s">
        <v>26</v>
      </c>
      <c r="D60" s="196" t="s">
        <v>272</v>
      </c>
      <c r="E60" s="195"/>
      <c r="F60" s="78" t="s">
        <v>273</v>
      </c>
      <c r="G60" s="78" t="s">
        <v>274</v>
      </c>
      <c r="H60" s="78" t="s">
        <v>275</v>
      </c>
      <c r="I60" s="196" t="s">
        <v>276</v>
      </c>
      <c r="J60" s="195"/>
      <c r="K60" s="196" t="s">
        <v>102</v>
      </c>
      <c r="L60" s="195"/>
      <c r="M60" s="196" t="s">
        <v>649</v>
      </c>
      <c r="N60" s="194"/>
      <c r="O60" s="194"/>
      <c r="P60" s="195"/>
      <c r="Q60" s="16"/>
    </row>
    <row r="61" spans="1:17" ht="22.05" customHeight="1" x14ac:dyDescent="0.4">
      <c r="A61" s="1"/>
      <c r="B61" s="103" t="s">
        <v>147</v>
      </c>
      <c r="C61" s="103" t="s">
        <v>240</v>
      </c>
      <c r="D61" s="206" t="s">
        <v>344</v>
      </c>
      <c r="E61" s="195"/>
      <c r="F61" s="103" t="s">
        <v>237</v>
      </c>
      <c r="G61" s="103" t="s">
        <v>238</v>
      </c>
      <c r="H61" s="103" t="s">
        <v>241</v>
      </c>
      <c r="I61" s="208" t="s">
        <v>345</v>
      </c>
      <c r="J61" s="195"/>
      <c r="K61" s="208" t="s">
        <v>346</v>
      </c>
      <c r="L61" s="195"/>
      <c r="M61" s="199" t="s">
        <v>668</v>
      </c>
      <c r="N61" s="194"/>
      <c r="O61" s="194"/>
      <c r="P61" s="195"/>
      <c r="Q61" s="16"/>
    </row>
    <row r="62" spans="1:17" ht="22.05" customHeight="1" x14ac:dyDescent="0.4">
      <c r="A62" s="1"/>
      <c r="B62" s="104" t="s">
        <v>149</v>
      </c>
      <c r="C62" s="79" t="s">
        <v>347</v>
      </c>
      <c r="D62" s="193" t="s">
        <v>348</v>
      </c>
      <c r="E62" s="195"/>
      <c r="F62" s="104" t="s">
        <v>225</v>
      </c>
      <c r="G62" s="104" t="s">
        <v>226</v>
      </c>
      <c r="H62" s="104" t="s">
        <v>349</v>
      </c>
      <c r="I62" s="200" t="s">
        <v>350</v>
      </c>
      <c r="J62" s="195"/>
      <c r="K62" s="200" t="s">
        <v>351</v>
      </c>
      <c r="L62" s="195"/>
      <c r="M62" s="202" t="s">
        <v>669</v>
      </c>
      <c r="N62" s="194"/>
      <c r="O62" s="194"/>
      <c r="P62" s="195"/>
      <c r="Q62" s="16"/>
    </row>
    <row r="63" spans="1:17" ht="22.05" customHeight="1" x14ac:dyDescent="0.4">
      <c r="A63" s="1"/>
      <c r="B63" s="104" t="s">
        <v>151</v>
      </c>
      <c r="C63" s="79" t="s">
        <v>352</v>
      </c>
      <c r="D63" s="193" t="s">
        <v>353</v>
      </c>
      <c r="E63" s="195"/>
      <c r="F63" s="104" t="s">
        <v>225</v>
      </c>
      <c r="G63" s="104" t="s">
        <v>226</v>
      </c>
      <c r="H63" s="104" t="s">
        <v>241</v>
      </c>
      <c r="I63" s="200" t="s">
        <v>354</v>
      </c>
      <c r="J63" s="195"/>
      <c r="K63" s="200" t="s">
        <v>355</v>
      </c>
      <c r="L63" s="195"/>
      <c r="M63" s="202" t="s">
        <v>670</v>
      </c>
      <c r="N63" s="194"/>
      <c r="O63" s="194"/>
      <c r="P63" s="195"/>
      <c r="Q63" s="16"/>
    </row>
    <row r="64" spans="1:17" ht="22.05" customHeight="1" x14ac:dyDescent="0.4">
      <c r="A64" s="1"/>
      <c r="B64" s="104" t="s">
        <v>154</v>
      </c>
      <c r="C64" s="79" t="s">
        <v>356</v>
      </c>
      <c r="D64" s="193" t="s">
        <v>357</v>
      </c>
      <c r="E64" s="195"/>
      <c r="F64" s="104" t="s">
        <v>120</v>
      </c>
      <c r="G64" s="104" t="s">
        <v>261</v>
      </c>
      <c r="H64" s="104" t="s">
        <v>315</v>
      </c>
      <c r="I64" s="200" t="s">
        <v>358</v>
      </c>
      <c r="J64" s="195"/>
      <c r="K64" s="200" t="s">
        <v>359</v>
      </c>
      <c r="L64" s="195"/>
      <c r="M64" s="202" t="s">
        <v>671</v>
      </c>
      <c r="N64" s="194"/>
      <c r="O64" s="194"/>
      <c r="P64" s="195"/>
      <c r="Q64" s="16"/>
    </row>
    <row r="65" spans="1:17" ht="22.05" customHeight="1" x14ac:dyDescent="0.4">
      <c r="A65" s="1"/>
      <c r="B65" s="104" t="s">
        <v>156</v>
      </c>
      <c r="C65" s="79" t="s">
        <v>360</v>
      </c>
      <c r="D65" s="193" t="s">
        <v>361</v>
      </c>
      <c r="E65" s="195"/>
      <c r="F65" s="104" t="s">
        <v>120</v>
      </c>
      <c r="G65" s="104" t="s">
        <v>261</v>
      </c>
      <c r="H65" s="104" t="s">
        <v>362</v>
      </c>
      <c r="I65" s="200" t="s">
        <v>363</v>
      </c>
      <c r="J65" s="195"/>
      <c r="K65" s="200" t="s">
        <v>364</v>
      </c>
      <c r="L65" s="195"/>
      <c r="M65" s="202" t="s">
        <v>672</v>
      </c>
      <c r="N65" s="194"/>
      <c r="O65" s="194"/>
      <c r="P65" s="195"/>
      <c r="Q65" s="16"/>
    </row>
    <row r="66" spans="1:17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6"/>
    </row>
    <row r="67" spans="1:17" ht="25.95" customHeight="1" x14ac:dyDescent="0.4">
      <c r="A67" s="1"/>
      <c r="B67" s="204" t="s">
        <v>647</v>
      </c>
      <c r="C67" s="170"/>
      <c r="D67" s="201" t="s">
        <v>673</v>
      </c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70"/>
      <c r="Q67" s="16"/>
    </row>
    <row r="68" spans="1:17" ht="30" customHeight="1" x14ac:dyDescent="0.4">
      <c r="A68" s="1"/>
      <c r="B68" s="207" t="s">
        <v>675</v>
      </c>
      <c r="C68" s="170"/>
      <c r="D68" s="188" t="s">
        <v>365</v>
      </c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70"/>
      <c r="Q68" s="16"/>
    </row>
    <row r="69" spans="1:17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6"/>
    </row>
    <row r="70" spans="1:17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6"/>
    </row>
    <row r="71" spans="1:17" ht="25.95" customHeight="1" x14ac:dyDescent="0.45">
      <c r="A71" s="1"/>
      <c r="B71" s="189" t="s">
        <v>674</v>
      </c>
      <c r="C71" s="190"/>
      <c r="D71" s="190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6"/>
    </row>
    <row r="72" spans="1:17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6"/>
    </row>
    <row r="73" spans="1:17" x14ac:dyDescent="0.4">
      <c r="A73" s="1"/>
      <c r="B73" s="205" t="s">
        <v>271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6"/>
    </row>
    <row r="74" spans="1:17" ht="22.05" customHeight="1" x14ac:dyDescent="0.4">
      <c r="A74" s="1"/>
      <c r="B74" s="3" t="s">
        <v>143</v>
      </c>
      <c r="C74" s="3" t="s">
        <v>26</v>
      </c>
      <c r="D74" s="209" t="s">
        <v>272</v>
      </c>
      <c r="E74" s="170"/>
      <c r="F74" s="3" t="s">
        <v>273</v>
      </c>
      <c r="G74" s="3" t="s">
        <v>274</v>
      </c>
      <c r="H74" s="3" t="s">
        <v>275</v>
      </c>
      <c r="I74" s="209" t="s">
        <v>276</v>
      </c>
      <c r="J74" s="170"/>
      <c r="K74" s="209" t="s">
        <v>102</v>
      </c>
      <c r="L74" s="170"/>
      <c r="M74" s="196" t="s">
        <v>649</v>
      </c>
      <c r="N74" s="194"/>
      <c r="O74" s="194"/>
      <c r="P74" s="195"/>
      <c r="Q74" s="16"/>
    </row>
    <row r="75" spans="1:17" ht="22.05" customHeight="1" x14ac:dyDescent="0.4">
      <c r="A75" s="1"/>
      <c r="B75" s="103" t="s">
        <v>147</v>
      </c>
      <c r="C75" s="103" t="s">
        <v>245</v>
      </c>
      <c r="D75" s="206" t="s">
        <v>366</v>
      </c>
      <c r="E75" s="195"/>
      <c r="F75" s="103" t="s">
        <v>246</v>
      </c>
      <c r="G75" s="103" t="s">
        <v>247</v>
      </c>
      <c r="H75" s="103" t="s">
        <v>248</v>
      </c>
      <c r="I75" s="208" t="s">
        <v>367</v>
      </c>
      <c r="J75" s="195"/>
      <c r="K75" s="208" t="s">
        <v>368</v>
      </c>
      <c r="L75" s="195"/>
      <c r="M75" s="199"/>
      <c r="N75" s="194"/>
      <c r="O75" s="194"/>
      <c r="P75" s="195"/>
      <c r="Q75" s="16"/>
    </row>
    <row r="76" spans="1:17" ht="22.05" customHeight="1" x14ac:dyDescent="0.4">
      <c r="A76" s="1"/>
      <c r="B76" s="104" t="s">
        <v>149</v>
      </c>
      <c r="C76" s="79" t="s">
        <v>292</v>
      </c>
      <c r="D76" s="193" t="s">
        <v>369</v>
      </c>
      <c r="E76" s="195"/>
      <c r="F76" s="104" t="s">
        <v>237</v>
      </c>
      <c r="G76" s="104" t="s">
        <v>238</v>
      </c>
      <c r="H76" s="104" t="s">
        <v>370</v>
      </c>
      <c r="I76" s="200" t="s">
        <v>371</v>
      </c>
      <c r="J76" s="195"/>
      <c r="K76" s="200" t="s">
        <v>372</v>
      </c>
      <c r="L76" s="195"/>
      <c r="M76" s="202"/>
      <c r="N76" s="194"/>
      <c r="O76" s="194"/>
      <c r="P76" s="195"/>
      <c r="Q76" s="16"/>
    </row>
    <row r="77" spans="1:17" ht="22.05" customHeight="1" x14ac:dyDescent="0.4">
      <c r="A77" s="1"/>
      <c r="B77" s="104" t="s">
        <v>151</v>
      </c>
      <c r="C77" s="79" t="s">
        <v>373</v>
      </c>
      <c r="D77" s="193" t="s">
        <v>374</v>
      </c>
      <c r="E77" s="195"/>
      <c r="F77" s="104" t="s">
        <v>237</v>
      </c>
      <c r="G77" s="104" t="s">
        <v>238</v>
      </c>
      <c r="H77" s="104" t="s">
        <v>375</v>
      </c>
      <c r="I77" s="200" t="s">
        <v>376</v>
      </c>
      <c r="J77" s="195"/>
      <c r="K77" s="200" t="s">
        <v>377</v>
      </c>
      <c r="L77" s="195"/>
      <c r="M77" s="202"/>
      <c r="N77" s="194"/>
      <c r="O77" s="194"/>
      <c r="P77" s="195"/>
      <c r="Q77" s="16"/>
    </row>
    <row r="78" spans="1:17" ht="22.05" customHeight="1" x14ac:dyDescent="0.4">
      <c r="A78" s="1"/>
      <c r="B78" s="104" t="s">
        <v>154</v>
      </c>
      <c r="C78" s="79" t="s">
        <v>378</v>
      </c>
      <c r="D78" s="193" t="s">
        <v>379</v>
      </c>
      <c r="E78" s="195"/>
      <c r="F78" s="104" t="s">
        <v>304</v>
      </c>
      <c r="G78" s="104" t="s">
        <v>305</v>
      </c>
      <c r="H78" s="104" t="s">
        <v>380</v>
      </c>
      <c r="I78" s="200" t="s">
        <v>381</v>
      </c>
      <c r="J78" s="195"/>
      <c r="K78" s="200" t="s">
        <v>382</v>
      </c>
      <c r="L78" s="195"/>
      <c r="M78" s="202"/>
      <c r="N78" s="194"/>
      <c r="O78" s="194"/>
      <c r="P78" s="195"/>
      <c r="Q78" s="16"/>
    </row>
    <row r="79" spans="1:17" ht="22.05" customHeight="1" x14ac:dyDescent="0.4">
      <c r="A79" s="1"/>
      <c r="B79" s="104" t="s">
        <v>156</v>
      </c>
      <c r="C79" s="79" t="s">
        <v>312</v>
      </c>
      <c r="D79" s="193" t="s">
        <v>383</v>
      </c>
      <c r="E79" s="195"/>
      <c r="F79" s="104" t="s">
        <v>294</v>
      </c>
      <c r="G79" s="104" t="s">
        <v>295</v>
      </c>
      <c r="H79" s="104" t="s">
        <v>384</v>
      </c>
      <c r="I79" s="200" t="s">
        <v>385</v>
      </c>
      <c r="J79" s="195"/>
      <c r="K79" s="200" t="s">
        <v>386</v>
      </c>
      <c r="L79" s="195"/>
      <c r="M79" s="202"/>
      <c r="N79" s="194"/>
      <c r="O79" s="194"/>
      <c r="P79" s="195"/>
      <c r="Q79" s="16"/>
    </row>
    <row r="80" spans="1:17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6"/>
    </row>
    <row r="81" spans="1:17" ht="25.95" customHeight="1" x14ac:dyDescent="0.4">
      <c r="A81" s="1"/>
      <c r="B81" s="204" t="s">
        <v>647</v>
      </c>
      <c r="C81" s="170"/>
      <c r="D81" s="201" t="s">
        <v>676</v>
      </c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70"/>
      <c r="Q81" s="16"/>
    </row>
    <row r="82" spans="1:17" ht="30" customHeight="1" x14ac:dyDescent="0.4">
      <c r="A82" s="1"/>
      <c r="B82" s="207" t="s">
        <v>675</v>
      </c>
      <c r="C82" s="170"/>
      <c r="D82" s="188" t="s">
        <v>677</v>
      </c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70"/>
      <c r="Q82" s="16"/>
    </row>
    <row r="83" spans="1:17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6"/>
    </row>
    <row r="84" spans="1:17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6"/>
    </row>
    <row r="85" spans="1:17" ht="25.95" customHeight="1" x14ac:dyDescent="0.45">
      <c r="A85" s="1"/>
      <c r="B85" s="189" t="s">
        <v>678</v>
      </c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6"/>
    </row>
    <row r="86" spans="1:17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6"/>
    </row>
    <row r="87" spans="1:17" x14ac:dyDescent="0.4">
      <c r="A87" s="1"/>
      <c r="B87" s="205" t="s">
        <v>271</v>
      </c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6"/>
    </row>
    <row r="88" spans="1:17" ht="22.05" customHeight="1" x14ac:dyDescent="0.4">
      <c r="A88" s="1"/>
      <c r="B88" s="78" t="s">
        <v>143</v>
      </c>
      <c r="C88" s="78" t="s">
        <v>26</v>
      </c>
      <c r="D88" s="196" t="s">
        <v>272</v>
      </c>
      <c r="E88" s="195"/>
      <c r="F88" s="78" t="s">
        <v>273</v>
      </c>
      <c r="G88" s="78" t="s">
        <v>274</v>
      </c>
      <c r="H88" s="78" t="s">
        <v>275</v>
      </c>
      <c r="I88" s="196" t="s">
        <v>276</v>
      </c>
      <c r="J88" s="195"/>
      <c r="K88" s="196" t="s">
        <v>102</v>
      </c>
      <c r="L88" s="195"/>
      <c r="M88" s="196" t="s">
        <v>649</v>
      </c>
      <c r="N88" s="194"/>
      <c r="O88" s="194"/>
      <c r="P88" s="195"/>
      <c r="Q88" s="16"/>
    </row>
    <row r="89" spans="1:17" ht="22.05" customHeight="1" x14ac:dyDescent="0.4">
      <c r="A89" s="1"/>
      <c r="B89" s="103" t="s">
        <v>147</v>
      </c>
      <c r="C89" s="103" t="s">
        <v>387</v>
      </c>
      <c r="D89" s="206" t="s">
        <v>388</v>
      </c>
      <c r="E89" s="195"/>
      <c r="F89" s="103" t="s">
        <v>251</v>
      </c>
      <c r="G89" s="103" t="s">
        <v>252</v>
      </c>
      <c r="H89" s="103" t="s">
        <v>253</v>
      </c>
      <c r="I89" s="208" t="s">
        <v>389</v>
      </c>
      <c r="J89" s="195"/>
      <c r="K89" s="208" t="s">
        <v>390</v>
      </c>
      <c r="L89" s="195"/>
      <c r="M89" s="199" t="s">
        <v>679</v>
      </c>
      <c r="N89" s="194"/>
      <c r="O89" s="194"/>
      <c r="P89" s="195"/>
      <c r="Q89" s="16"/>
    </row>
    <row r="90" spans="1:17" ht="22.05" customHeight="1" x14ac:dyDescent="0.4">
      <c r="A90" s="1"/>
      <c r="B90" s="104" t="s">
        <v>149</v>
      </c>
      <c r="C90" s="79" t="s">
        <v>391</v>
      </c>
      <c r="D90" s="193" t="s">
        <v>392</v>
      </c>
      <c r="E90" s="195"/>
      <c r="F90" s="104" t="s">
        <v>230</v>
      </c>
      <c r="G90" s="104" t="s">
        <v>231</v>
      </c>
      <c r="H90" s="104" t="s">
        <v>393</v>
      </c>
      <c r="I90" s="200" t="s">
        <v>394</v>
      </c>
      <c r="J90" s="195"/>
      <c r="K90" s="200" t="s">
        <v>395</v>
      </c>
      <c r="L90" s="195"/>
      <c r="M90" s="202" t="s">
        <v>680</v>
      </c>
      <c r="N90" s="194"/>
      <c r="O90" s="194"/>
      <c r="P90" s="195"/>
      <c r="Q90" s="16"/>
    </row>
    <row r="91" spans="1:17" ht="22.05" customHeight="1" x14ac:dyDescent="0.4">
      <c r="A91" s="1"/>
      <c r="B91" s="104" t="s">
        <v>151</v>
      </c>
      <c r="C91" s="79" t="s">
        <v>352</v>
      </c>
      <c r="D91" s="193" t="s">
        <v>396</v>
      </c>
      <c r="E91" s="195"/>
      <c r="F91" s="104" t="s">
        <v>230</v>
      </c>
      <c r="G91" s="104" t="s">
        <v>231</v>
      </c>
      <c r="H91" s="104" t="s">
        <v>331</v>
      </c>
      <c r="I91" s="200" t="s">
        <v>397</v>
      </c>
      <c r="J91" s="195"/>
      <c r="K91" s="200" t="s">
        <v>398</v>
      </c>
      <c r="L91" s="195"/>
      <c r="M91" s="202" t="s">
        <v>681</v>
      </c>
      <c r="N91" s="194"/>
      <c r="O91" s="194"/>
      <c r="P91" s="195"/>
      <c r="Q91" s="16"/>
    </row>
    <row r="92" spans="1:17" ht="22.05" customHeight="1" x14ac:dyDescent="0.4">
      <c r="A92" s="1"/>
      <c r="B92" s="104" t="s">
        <v>154</v>
      </c>
      <c r="C92" s="79" t="s">
        <v>30</v>
      </c>
      <c r="D92" s="193" t="s">
        <v>399</v>
      </c>
      <c r="E92" s="195"/>
      <c r="F92" s="104" t="s">
        <v>237</v>
      </c>
      <c r="G92" s="104" t="s">
        <v>238</v>
      </c>
      <c r="H92" s="104" t="s">
        <v>400</v>
      </c>
      <c r="I92" s="200" t="s">
        <v>401</v>
      </c>
      <c r="J92" s="195"/>
      <c r="K92" s="200" t="s">
        <v>402</v>
      </c>
      <c r="L92" s="195"/>
      <c r="M92" s="202" t="s">
        <v>682</v>
      </c>
      <c r="N92" s="194"/>
      <c r="O92" s="194"/>
      <c r="P92" s="195"/>
      <c r="Q92" s="16"/>
    </row>
    <row r="93" spans="1:17" ht="22.05" customHeight="1" x14ac:dyDescent="0.4">
      <c r="A93" s="1"/>
      <c r="B93" s="104" t="s">
        <v>156</v>
      </c>
      <c r="C93" s="79" t="s">
        <v>403</v>
      </c>
      <c r="D93" s="193" t="s">
        <v>404</v>
      </c>
      <c r="E93" s="195"/>
      <c r="F93" s="104" t="s">
        <v>405</v>
      </c>
      <c r="G93" s="104" t="s">
        <v>406</v>
      </c>
      <c r="H93" s="104" t="s">
        <v>407</v>
      </c>
      <c r="I93" s="200" t="s">
        <v>408</v>
      </c>
      <c r="J93" s="195"/>
      <c r="K93" s="200" t="s">
        <v>212</v>
      </c>
      <c r="L93" s="195"/>
      <c r="M93" s="202" t="s">
        <v>683</v>
      </c>
      <c r="N93" s="194"/>
      <c r="O93" s="194"/>
      <c r="P93" s="195"/>
      <c r="Q93" s="16"/>
    </row>
    <row r="94" spans="1:17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6"/>
    </row>
    <row r="95" spans="1:17" ht="25.95" customHeight="1" x14ac:dyDescent="0.4">
      <c r="A95" s="1"/>
      <c r="B95" s="204" t="s">
        <v>647</v>
      </c>
      <c r="C95" s="170"/>
      <c r="D95" s="201" t="s">
        <v>684</v>
      </c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70"/>
      <c r="Q95" s="16"/>
    </row>
    <row r="96" spans="1:17" ht="30" customHeight="1" x14ac:dyDescent="0.4">
      <c r="A96" s="1"/>
      <c r="B96" s="207" t="s">
        <v>675</v>
      </c>
      <c r="C96" s="170"/>
      <c r="D96" s="188" t="s">
        <v>409</v>
      </c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70"/>
      <c r="Q96" s="16"/>
    </row>
    <row r="97" spans="1:17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6"/>
    </row>
    <row r="98" spans="1:17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6"/>
    </row>
    <row r="99" spans="1:17" ht="25.95" customHeight="1" x14ac:dyDescent="0.45">
      <c r="A99" s="1"/>
      <c r="B99" s="189" t="s">
        <v>685</v>
      </c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6"/>
    </row>
    <row r="100" spans="1:17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6"/>
    </row>
    <row r="101" spans="1:17" x14ac:dyDescent="0.4">
      <c r="A101" s="1"/>
      <c r="B101" s="205" t="s">
        <v>271</v>
      </c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6"/>
    </row>
    <row r="102" spans="1:17" ht="22.05" customHeight="1" x14ac:dyDescent="0.4">
      <c r="A102" s="1"/>
      <c r="B102" s="78" t="s">
        <v>143</v>
      </c>
      <c r="C102" s="78" t="s">
        <v>26</v>
      </c>
      <c r="D102" s="196" t="s">
        <v>272</v>
      </c>
      <c r="E102" s="195"/>
      <c r="F102" s="78" t="s">
        <v>273</v>
      </c>
      <c r="G102" s="78" t="s">
        <v>274</v>
      </c>
      <c r="H102" s="78" t="s">
        <v>275</v>
      </c>
      <c r="I102" s="196" t="s">
        <v>276</v>
      </c>
      <c r="J102" s="195"/>
      <c r="K102" s="196" t="s">
        <v>102</v>
      </c>
      <c r="L102" s="195"/>
      <c r="M102" s="196" t="s">
        <v>686</v>
      </c>
      <c r="N102" s="194"/>
      <c r="O102" s="194"/>
      <c r="P102" s="195"/>
      <c r="Q102" s="16"/>
    </row>
    <row r="103" spans="1:17" ht="22.05" customHeight="1" x14ac:dyDescent="0.4">
      <c r="A103" s="1"/>
      <c r="B103" s="103" t="s">
        <v>147</v>
      </c>
      <c r="C103" s="103" t="s">
        <v>37</v>
      </c>
      <c r="D103" s="206" t="s">
        <v>410</v>
      </c>
      <c r="E103" s="195"/>
      <c r="F103" s="103" t="s">
        <v>237</v>
      </c>
      <c r="G103" s="103" t="s">
        <v>238</v>
      </c>
      <c r="H103" s="103" t="s">
        <v>255</v>
      </c>
      <c r="I103" s="208" t="s">
        <v>411</v>
      </c>
      <c r="J103" s="195"/>
      <c r="K103" s="208" t="s">
        <v>412</v>
      </c>
      <c r="L103" s="195"/>
      <c r="M103" s="199" t="s">
        <v>687</v>
      </c>
      <c r="N103" s="194"/>
      <c r="O103" s="194"/>
      <c r="P103" s="195"/>
      <c r="Q103" s="16"/>
    </row>
    <row r="104" spans="1:17" ht="22.05" customHeight="1" x14ac:dyDescent="0.4">
      <c r="A104" s="1"/>
      <c r="B104" s="104" t="s">
        <v>149</v>
      </c>
      <c r="C104" s="79" t="s">
        <v>413</v>
      </c>
      <c r="D104" s="193" t="s">
        <v>414</v>
      </c>
      <c r="E104" s="195"/>
      <c r="F104" s="104" t="s">
        <v>304</v>
      </c>
      <c r="G104" s="104" t="s">
        <v>305</v>
      </c>
      <c r="H104" s="104" t="s">
        <v>415</v>
      </c>
      <c r="I104" s="200" t="s">
        <v>416</v>
      </c>
      <c r="J104" s="195"/>
      <c r="K104" s="200" t="s">
        <v>417</v>
      </c>
      <c r="L104" s="195"/>
      <c r="M104" s="202" t="s">
        <v>688</v>
      </c>
      <c r="N104" s="194"/>
      <c r="O104" s="194"/>
      <c r="P104" s="195"/>
      <c r="Q104" s="16"/>
    </row>
    <row r="105" spans="1:17" ht="22.05" customHeight="1" x14ac:dyDescent="0.4">
      <c r="A105" s="1"/>
      <c r="B105" s="104" t="s">
        <v>151</v>
      </c>
      <c r="C105" s="79" t="s">
        <v>418</v>
      </c>
      <c r="D105" s="193" t="s">
        <v>419</v>
      </c>
      <c r="E105" s="195"/>
      <c r="F105" s="104" t="s">
        <v>97</v>
      </c>
      <c r="G105" s="104" t="s">
        <v>314</v>
      </c>
      <c r="H105" s="104" t="s">
        <v>420</v>
      </c>
      <c r="I105" s="200" t="s">
        <v>421</v>
      </c>
      <c r="J105" s="195"/>
      <c r="K105" s="200" t="s">
        <v>422</v>
      </c>
      <c r="L105" s="195"/>
      <c r="M105" s="202" t="s">
        <v>689</v>
      </c>
      <c r="N105" s="194"/>
      <c r="O105" s="194"/>
      <c r="P105" s="195"/>
      <c r="Q105" s="16"/>
    </row>
    <row r="106" spans="1:17" ht="22.05" customHeight="1" x14ac:dyDescent="0.4">
      <c r="A106" s="1"/>
      <c r="B106" s="104" t="s">
        <v>154</v>
      </c>
      <c r="C106" s="79" t="s">
        <v>423</v>
      </c>
      <c r="D106" s="193" t="s">
        <v>424</v>
      </c>
      <c r="E106" s="195"/>
      <c r="F106" s="104" t="s">
        <v>120</v>
      </c>
      <c r="G106" s="104" t="s">
        <v>261</v>
      </c>
      <c r="H106" s="104" t="s">
        <v>289</v>
      </c>
      <c r="I106" s="200" t="s">
        <v>425</v>
      </c>
      <c r="J106" s="195"/>
      <c r="K106" s="200" t="s">
        <v>426</v>
      </c>
      <c r="L106" s="195"/>
      <c r="M106" s="202" t="s">
        <v>690</v>
      </c>
      <c r="N106" s="194"/>
      <c r="O106" s="194"/>
      <c r="P106" s="195"/>
      <c r="Q106" s="16"/>
    </row>
    <row r="107" spans="1:17" ht="22.05" customHeight="1" x14ac:dyDescent="0.4">
      <c r="A107" s="1"/>
      <c r="B107" s="104" t="s">
        <v>156</v>
      </c>
      <c r="C107" s="79" t="s">
        <v>352</v>
      </c>
      <c r="D107" s="193" t="s">
        <v>427</v>
      </c>
      <c r="E107" s="195"/>
      <c r="F107" s="104" t="s">
        <v>120</v>
      </c>
      <c r="G107" s="104" t="s">
        <v>261</v>
      </c>
      <c r="H107" s="104" t="s">
        <v>428</v>
      </c>
      <c r="I107" s="200" t="s">
        <v>429</v>
      </c>
      <c r="J107" s="195"/>
      <c r="K107" s="200" t="s">
        <v>430</v>
      </c>
      <c r="L107" s="195"/>
      <c r="M107" s="202" t="s">
        <v>691</v>
      </c>
      <c r="N107" s="194"/>
      <c r="O107" s="194"/>
      <c r="P107" s="195"/>
      <c r="Q107" s="16"/>
    </row>
    <row r="108" spans="1:17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6"/>
    </row>
    <row r="109" spans="1:17" ht="25.95" customHeight="1" x14ac:dyDescent="0.4">
      <c r="A109" s="1"/>
      <c r="B109" s="204" t="s">
        <v>647</v>
      </c>
      <c r="C109" s="170"/>
      <c r="D109" s="201" t="s">
        <v>692</v>
      </c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70"/>
      <c r="Q109" s="16"/>
    </row>
    <row r="110" spans="1:17" ht="30" customHeight="1" x14ac:dyDescent="0.4">
      <c r="A110" s="1"/>
      <c r="B110" s="207" t="s">
        <v>675</v>
      </c>
      <c r="C110" s="170"/>
      <c r="D110" s="188" t="s">
        <v>693</v>
      </c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70"/>
      <c r="Q110" s="16"/>
    </row>
    <row r="111" spans="1:17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6"/>
    </row>
    <row r="112" spans="1:17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6"/>
    </row>
    <row r="113" spans="1:17" ht="25.95" customHeight="1" x14ac:dyDescent="0.45">
      <c r="A113" s="1"/>
      <c r="B113" s="189" t="s">
        <v>694</v>
      </c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  <c r="M113" s="190"/>
      <c r="N113" s="190"/>
      <c r="O113" s="190"/>
      <c r="P113" s="190"/>
      <c r="Q113" s="16"/>
    </row>
    <row r="114" spans="1:17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6"/>
    </row>
    <row r="115" spans="1:17" x14ac:dyDescent="0.4">
      <c r="A115" s="1"/>
      <c r="B115" s="205" t="s">
        <v>271</v>
      </c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6"/>
    </row>
    <row r="116" spans="1:17" ht="22.05" customHeight="1" x14ac:dyDescent="0.4">
      <c r="A116" s="1"/>
      <c r="B116" s="78" t="s">
        <v>143</v>
      </c>
      <c r="C116" s="78" t="s">
        <v>26</v>
      </c>
      <c r="D116" s="196" t="s">
        <v>272</v>
      </c>
      <c r="E116" s="195"/>
      <c r="F116" s="78" t="s">
        <v>273</v>
      </c>
      <c r="G116" s="78" t="s">
        <v>274</v>
      </c>
      <c r="H116" s="78" t="s">
        <v>275</v>
      </c>
      <c r="I116" s="196" t="s">
        <v>276</v>
      </c>
      <c r="J116" s="195"/>
      <c r="K116" s="196" t="s">
        <v>102</v>
      </c>
      <c r="L116" s="195"/>
      <c r="M116" s="196" t="s">
        <v>695</v>
      </c>
      <c r="N116" s="194"/>
      <c r="O116" s="194"/>
      <c r="P116" s="195"/>
      <c r="Q116" s="16"/>
    </row>
    <row r="117" spans="1:17" ht="22.05" customHeight="1" x14ac:dyDescent="0.4">
      <c r="A117" s="1"/>
      <c r="B117" s="103" t="s">
        <v>147</v>
      </c>
      <c r="C117" s="103" t="s">
        <v>224</v>
      </c>
      <c r="D117" s="206" t="s">
        <v>431</v>
      </c>
      <c r="E117" s="195"/>
      <c r="F117" s="103" t="s">
        <v>225</v>
      </c>
      <c r="G117" s="103" t="s">
        <v>226</v>
      </c>
      <c r="H117" s="103" t="s">
        <v>227</v>
      </c>
      <c r="I117" s="208" t="s">
        <v>432</v>
      </c>
      <c r="J117" s="195"/>
      <c r="K117" s="208" t="s">
        <v>433</v>
      </c>
      <c r="L117" s="195"/>
      <c r="M117" s="199" t="s">
        <v>696</v>
      </c>
      <c r="N117" s="194"/>
      <c r="O117" s="194"/>
      <c r="P117" s="195"/>
      <c r="Q117" s="16"/>
    </row>
    <row r="118" spans="1:17" ht="22.05" customHeight="1" x14ac:dyDescent="0.4">
      <c r="A118" s="1"/>
      <c r="B118" s="104" t="s">
        <v>149</v>
      </c>
      <c r="C118" s="79" t="s">
        <v>418</v>
      </c>
      <c r="D118" s="193" t="s">
        <v>434</v>
      </c>
      <c r="E118" s="195"/>
      <c r="F118" s="104" t="s">
        <v>120</v>
      </c>
      <c r="G118" s="104" t="s">
        <v>261</v>
      </c>
      <c r="H118" s="104" t="s">
        <v>435</v>
      </c>
      <c r="I118" s="200" t="s">
        <v>436</v>
      </c>
      <c r="J118" s="195"/>
      <c r="K118" s="200" t="s">
        <v>211</v>
      </c>
      <c r="L118" s="195"/>
      <c r="M118" s="202" t="s">
        <v>697</v>
      </c>
      <c r="N118" s="194"/>
      <c r="O118" s="194"/>
      <c r="P118" s="195"/>
      <c r="Q118" s="16"/>
    </row>
    <row r="119" spans="1:17" ht="22.05" customHeight="1" x14ac:dyDescent="0.4">
      <c r="A119" s="1"/>
      <c r="B119" s="104" t="s">
        <v>151</v>
      </c>
      <c r="C119" s="79" t="s">
        <v>437</v>
      </c>
      <c r="D119" s="193" t="s">
        <v>438</v>
      </c>
      <c r="E119" s="195"/>
      <c r="F119" s="104" t="s">
        <v>122</v>
      </c>
      <c r="G119" s="104" t="s">
        <v>439</v>
      </c>
      <c r="H119" s="104" t="s">
        <v>440</v>
      </c>
      <c r="I119" s="200" t="s">
        <v>441</v>
      </c>
      <c r="J119" s="195"/>
      <c r="K119" s="200" t="s">
        <v>442</v>
      </c>
      <c r="L119" s="195"/>
      <c r="M119" s="202" t="s">
        <v>698</v>
      </c>
      <c r="N119" s="194"/>
      <c r="O119" s="194"/>
      <c r="P119" s="195"/>
      <c r="Q119" s="16"/>
    </row>
    <row r="120" spans="1:17" ht="22.05" customHeight="1" x14ac:dyDescent="0.4">
      <c r="A120" s="1"/>
      <c r="B120" s="104" t="s">
        <v>154</v>
      </c>
      <c r="C120" s="79" t="s">
        <v>443</v>
      </c>
      <c r="D120" s="193" t="s">
        <v>444</v>
      </c>
      <c r="E120" s="195"/>
      <c r="F120" s="104" t="s">
        <v>86</v>
      </c>
      <c r="G120" s="104" t="s">
        <v>445</v>
      </c>
      <c r="H120" s="104" t="s">
        <v>446</v>
      </c>
      <c r="I120" s="200" t="s">
        <v>447</v>
      </c>
      <c r="J120" s="195"/>
      <c r="K120" s="200" t="s">
        <v>448</v>
      </c>
      <c r="L120" s="195"/>
      <c r="M120" s="202" t="s">
        <v>699</v>
      </c>
      <c r="N120" s="194"/>
      <c r="O120" s="194"/>
      <c r="P120" s="195"/>
      <c r="Q120" s="16"/>
    </row>
    <row r="121" spans="1:17" ht="22.05" customHeight="1" x14ac:dyDescent="0.4">
      <c r="A121" s="1"/>
      <c r="B121" s="104" t="s">
        <v>156</v>
      </c>
      <c r="C121" s="79" t="s">
        <v>449</v>
      </c>
      <c r="D121" s="193" t="s">
        <v>450</v>
      </c>
      <c r="E121" s="195"/>
      <c r="F121" s="104" t="s">
        <v>89</v>
      </c>
      <c r="G121" s="104" t="s">
        <v>451</v>
      </c>
      <c r="H121" s="104" t="s">
        <v>227</v>
      </c>
      <c r="I121" s="200" t="s">
        <v>452</v>
      </c>
      <c r="J121" s="195"/>
      <c r="K121" s="200" t="s">
        <v>298</v>
      </c>
      <c r="L121" s="195"/>
      <c r="M121" s="202" t="s">
        <v>700</v>
      </c>
      <c r="N121" s="194"/>
      <c r="O121" s="194"/>
      <c r="P121" s="195"/>
      <c r="Q121" s="16"/>
    </row>
    <row r="122" spans="1:17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6"/>
    </row>
    <row r="123" spans="1:17" ht="25.95" customHeight="1" x14ac:dyDescent="0.4">
      <c r="A123" s="1"/>
      <c r="B123" s="204" t="s">
        <v>647</v>
      </c>
      <c r="C123" s="170"/>
      <c r="D123" s="201" t="s">
        <v>701</v>
      </c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70"/>
      <c r="Q123" s="16"/>
    </row>
    <row r="124" spans="1:17" ht="30" customHeight="1" x14ac:dyDescent="0.4">
      <c r="A124" s="1"/>
      <c r="B124" s="207" t="s">
        <v>675</v>
      </c>
      <c r="C124" s="170"/>
      <c r="D124" s="188" t="s">
        <v>702</v>
      </c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70"/>
      <c r="Q124" s="16"/>
    </row>
    <row r="125" spans="1:17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6"/>
    </row>
    <row r="126" spans="1:17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6"/>
    </row>
    <row r="127" spans="1:17" ht="25.95" customHeight="1" x14ac:dyDescent="0.45">
      <c r="A127" s="1"/>
      <c r="B127" s="189" t="s">
        <v>703</v>
      </c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M127" s="190"/>
      <c r="N127" s="190"/>
      <c r="O127" s="190"/>
      <c r="P127" s="190"/>
      <c r="Q127" s="16"/>
    </row>
    <row r="128" spans="1:17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6"/>
    </row>
    <row r="129" spans="1:17" x14ac:dyDescent="0.4">
      <c r="A129" s="1"/>
      <c r="B129" s="205" t="s">
        <v>271</v>
      </c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6"/>
    </row>
    <row r="130" spans="1:17" ht="22.05" customHeight="1" x14ac:dyDescent="0.4">
      <c r="A130" s="1"/>
      <c r="B130" s="78" t="s">
        <v>143</v>
      </c>
      <c r="C130" s="78" t="s">
        <v>26</v>
      </c>
      <c r="D130" s="196" t="s">
        <v>272</v>
      </c>
      <c r="E130" s="195"/>
      <c r="F130" s="78" t="s">
        <v>273</v>
      </c>
      <c r="G130" s="78" t="s">
        <v>274</v>
      </c>
      <c r="H130" s="78" t="s">
        <v>275</v>
      </c>
      <c r="I130" s="196" t="s">
        <v>276</v>
      </c>
      <c r="J130" s="195"/>
      <c r="K130" s="196" t="s">
        <v>102</v>
      </c>
      <c r="L130" s="195"/>
      <c r="M130" s="196" t="s">
        <v>649</v>
      </c>
      <c r="N130" s="194"/>
      <c r="O130" s="194"/>
      <c r="P130" s="195"/>
      <c r="Q130" s="16"/>
    </row>
    <row r="131" spans="1:17" ht="22.05" customHeight="1" x14ac:dyDescent="0.4">
      <c r="A131" s="1"/>
      <c r="B131" s="103" t="s">
        <v>147</v>
      </c>
      <c r="C131" s="103" t="s">
        <v>165</v>
      </c>
      <c r="D131" s="206" t="s">
        <v>453</v>
      </c>
      <c r="E131" s="195"/>
      <c r="F131" s="103" t="s">
        <v>237</v>
      </c>
      <c r="G131" s="103" t="s">
        <v>238</v>
      </c>
      <c r="H131" s="103" t="s">
        <v>259</v>
      </c>
      <c r="I131" s="208" t="s">
        <v>454</v>
      </c>
      <c r="J131" s="195"/>
      <c r="K131" s="208" t="s">
        <v>455</v>
      </c>
      <c r="L131" s="195"/>
      <c r="M131" s="199"/>
      <c r="N131" s="194"/>
      <c r="O131" s="194"/>
      <c r="P131" s="195"/>
      <c r="Q131" s="16"/>
    </row>
    <row r="132" spans="1:17" ht="22.05" customHeight="1" x14ac:dyDescent="0.4">
      <c r="A132" s="1"/>
      <c r="B132" s="104" t="s">
        <v>149</v>
      </c>
      <c r="C132" s="79" t="s">
        <v>456</v>
      </c>
      <c r="D132" s="193" t="s">
        <v>457</v>
      </c>
      <c r="E132" s="195"/>
      <c r="F132" s="104" t="s">
        <v>405</v>
      </c>
      <c r="G132" s="104" t="s">
        <v>406</v>
      </c>
      <c r="H132" s="104" t="s">
        <v>458</v>
      </c>
      <c r="I132" s="200" t="s">
        <v>459</v>
      </c>
      <c r="J132" s="195"/>
      <c r="K132" s="200" t="s">
        <v>460</v>
      </c>
      <c r="L132" s="195"/>
      <c r="M132" s="202"/>
      <c r="N132" s="194"/>
      <c r="O132" s="194"/>
      <c r="P132" s="195"/>
      <c r="Q132" s="16"/>
    </row>
    <row r="133" spans="1:17" ht="22.05" customHeight="1" x14ac:dyDescent="0.4">
      <c r="A133" s="1"/>
      <c r="B133" s="104" t="s">
        <v>151</v>
      </c>
      <c r="C133" s="79" t="s">
        <v>461</v>
      </c>
      <c r="D133" s="193" t="s">
        <v>462</v>
      </c>
      <c r="E133" s="195"/>
      <c r="F133" s="104" t="s">
        <v>225</v>
      </c>
      <c r="G133" s="104" t="s">
        <v>226</v>
      </c>
      <c r="H133" s="104" t="s">
        <v>463</v>
      </c>
      <c r="I133" s="200" t="s">
        <v>464</v>
      </c>
      <c r="J133" s="195"/>
      <c r="K133" s="200" t="s">
        <v>364</v>
      </c>
      <c r="L133" s="195"/>
      <c r="M133" s="202"/>
      <c r="N133" s="194"/>
      <c r="O133" s="194"/>
      <c r="P133" s="195"/>
      <c r="Q133" s="16"/>
    </row>
    <row r="134" spans="1:17" ht="22.05" customHeight="1" x14ac:dyDescent="0.4">
      <c r="A134" s="1"/>
      <c r="B134" s="104" t="s">
        <v>154</v>
      </c>
      <c r="C134" s="79" t="s">
        <v>413</v>
      </c>
      <c r="D134" s="193" t="s">
        <v>465</v>
      </c>
      <c r="E134" s="195"/>
      <c r="F134" s="104" t="s">
        <v>120</v>
      </c>
      <c r="G134" s="104" t="s">
        <v>261</v>
      </c>
      <c r="H134" s="104" t="s">
        <v>466</v>
      </c>
      <c r="I134" s="200" t="s">
        <v>467</v>
      </c>
      <c r="J134" s="195"/>
      <c r="K134" s="200" t="s">
        <v>468</v>
      </c>
      <c r="L134" s="195"/>
      <c r="M134" s="202"/>
      <c r="N134" s="194"/>
      <c r="O134" s="194"/>
      <c r="P134" s="195"/>
      <c r="Q134" s="16"/>
    </row>
    <row r="135" spans="1:17" ht="22.05" customHeight="1" x14ac:dyDescent="0.4">
      <c r="A135" s="1"/>
      <c r="B135" s="104" t="s">
        <v>156</v>
      </c>
      <c r="C135" s="79" t="s">
        <v>352</v>
      </c>
      <c r="D135" s="193" t="s">
        <v>469</v>
      </c>
      <c r="E135" s="195"/>
      <c r="F135" s="104" t="s">
        <v>470</v>
      </c>
      <c r="G135" s="104" t="s">
        <v>362</v>
      </c>
      <c r="H135" s="104" t="s">
        <v>471</v>
      </c>
      <c r="I135" s="200" t="s">
        <v>472</v>
      </c>
      <c r="J135" s="195"/>
      <c r="K135" s="200" t="s">
        <v>395</v>
      </c>
      <c r="L135" s="195"/>
      <c r="M135" s="202"/>
      <c r="N135" s="194"/>
      <c r="O135" s="194"/>
      <c r="P135" s="195"/>
      <c r="Q135" s="16"/>
    </row>
    <row r="136" spans="1:17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6"/>
    </row>
    <row r="137" spans="1:17" ht="25.95" customHeight="1" x14ac:dyDescent="0.4">
      <c r="A137" s="1"/>
      <c r="B137" s="204" t="s">
        <v>647</v>
      </c>
      <c r="C137" s="170"/>
      <c r="D137" s="201" t="s">
        <v>704</v>
      </c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70"/>
      <c r="Q137" s="16"/>
    </row>
    <row r="138" spans="1:17" ht="30" customHeight="1" x14ac:dyDescent="0.4">
      <c r="A138" s="1"/>
      <c r="B138" s="207" t="s">
        <v>675</v>
      </c>
      <c r="C138" s="170"/>
      <c r="D138" s="188" t="s">
        <v>473</v>
      </c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70"/>
      <c r="Q138" s="16"/>
    </row>
    <row r="139" spans="1:17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6"/>
    </row>
    <row r="140" spans="1:17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6"/>
    </row>
    <row r="141" spans="1:17" ht="25.95" customHeight="1" x14ac:dyDescent="0.45">
      <c r="A141" s="1"/>
      <c r="B141" s="189" t="s">
        <v>705</v>
      </c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  <c r="M141" s="190"/>
      <c r="N141" s="190"/>
      <c r="O141" s="190"/>
      <c r="P141" s="190"/>
      <c r="Q141" s="16"/>
    </row>
    <row r="142" spans="1:17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6"/>
    </row>
    <row r="143" spans="1:17" x14ac:dyDescent="0.4">
      <c r="A143" s="1"/>
      <c r="B143" s="205" t="s">
        <v>271</v>
      </c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6"/>
    </row>
    <row r="144" spans="1:17" ht="22.05" customHeight="1" x14ac:dyDescent="0.4">
      <c r="A144" s="1"/>
      <c r="B144" s="3" t="s">
        <v>143</v>
      </c>
      <c r="C144" s="3" t="s">
        <v>26</v>
      </c>
      <c r="D144" s="209" t="s">
        <v>272</v>
      </c>
      <c r="E144" s="170"/>
      <c r="F144" s="3" t="s">
        <v>273</v>
      </c>
      <c r="G144" s="3" t="s">
        <v>274</v>
      </c>
      <c r="H144" s="3" t="s">
        <v>275</v>
      </c>
      <c r="I144" s="209" t="s">
        <v>276</v>
      </c>
      <c r="J144" s="170"/>
      <c r="K144" s="209" t="s">
        <v>102</v>
      </c>
      <c r="L144" s="170"/>
      <c r="M144" s="196" t="s">
        <v>649</v>
      </c>
      <c r="N144" s="194"/>
      <c r="O144" s="194"/>
      <c r="P144" s="195"/>
      <c r="Q144" s="16"/>
    </row>
    <row r="145" spans="1:17" ht="22.05" customHeight="1" x14ac:dyDescent="0.4">
      <c r="A145" s="1"/>
      <c r="B145" s="10" t="s">
        <v>147</v>
      </c>
      <c r="C145" s="10" t="s">
        <v>260</v>
      </c>
      <c r="D145" s="210" t="s">
        <v>474</v>
      </c>
      <c r="E145" s="170"/>
      <c r="F145" s="10" t="s">
        <v>120</v>
      </c>
      <c r="G145" s="10" t="s">
        <v>261</v>
      </c>
      <c r="H145" s="10" t="s">
        <v>262</v>
      </c>
      <c r="I145" s="203" t="s">
        <v>475</v>
      </c>
      <c r="J145" s="170"/>
      <c r="K145" s="203" t="s">
        <v>476</v>
      </c>
      <c r="L145" s="170"/>
      <c r="M145" s="199"/>
      <c r="N145" s="194"/>
      <c r="O145" s="194"/>
      <c r="P145" s="195"/>
      <c r="Q145" s="16"/>
    </row>
    <row r="146" spans="1:17" ht="22.05" customHeight="1" x14ac:dyDescent="0.4">
      <c r="A146" s="1"/>
      <c r="B146" s="4" t="s">
        <v>149</v>
      </c>
      <c r="C146" s="2" t="s">
        <v>477</v>
      </c>
      <c r="D146" s="188" t="s">
        <v>478</v>
      </c>
      <c r="E146" s="170"/>
      <c r="F146" s="4" t="s">
        <v>122</v>
      </c>
      <c r="G146" s="4" t="s">
        <v>439</v>
      </c>
      <c r="H146" s="4" t="s">
        <v>479</v>
      </c>
      <c r="I146" s="198" t="s">
        <v>429</v>
      </c>
      <c r="J146" s="170"/>
      <c r="K146" s="198" t="s">
        <v>213</v>
      </c>
      <c r="L146" s="170"/>
      <c r="M146" s="202"/>
      <c r="N146" s="194"/>
      <c r="O146" s="194"/>
      <c r="P146" s="195"/>
      <c r="Q146" s="16"/>
    </row>
    <row r="147" spans="1:17" ht="22.05" customHeight="1" x14ac:dyDescent="0.4">
      <c r="A147" s="1"/>
      <c r="B147" s="4" t="s">
        <v>151</v>
      </c>
      <c r="C147" s="2" t="s">
        <v>480</v>
      </c>
      <c r="D147" s="188" t="s">
        <v>481</v>
      </c>
      <c r="E147" s="170"/>
      <c r="F147" s="4" t="s">
        <v>122</v>
      </c>
      <c r="G147" s="4" t="s">
        <v>439</v>
      </c>
      <c r="H147" s="4" t="s">
        <v>482</v>
      </c>
      <c r="I147" s="198" t="s">
        <v>483</v>
      </c>
      <c r="J147" s="170"/>
      <c r="K147" s="198" t="s">
        <v>484</v>
      </c>
      <c r="L147" s="170"/>
      <c r="M147" s="202"/>
      <c r="N147" s="194"/>
      <c r="O147" s="194"/>
      <c r="P147" s="195"/>
      <c r="Q147" s="16"/>
    </row>
    <row r="148" spans="1:17" ht="22.05" customHeight="1" x14ac:dyDescent="0.4">
      <c r="A148" s="1"/>
      <c r="B148" s="4" t="s">
        <v>154</v>
      </c>
      <c r="C148" s="2" t="s">
        <v>485</v>
      </c>
      <c r="D148" s="188" t="s">
        <v>486</v>
      </c>
      <c r="E148" s="170"/>
      <c r="F148" s="4" t="s">
        <v>122</v>
      </c>
      <c r="G148" s="4" t="s">
        <v>439</v>
      </c>
      <c r="H148" s="4" t="s">
        <v>487</v>
      </c>
      <c r="I148" s="198" t="s">
        <v>210</v>
      </c>
      <c r="J148" s="170"/>
      <c r="K148" s="198" t="s">
        <v>488</v>
      </c>
      <c r="L148" s="170"/>
      <c r="M148" s="202"/>
      <c r="N148" s="194"/>
      <c r="O148" s="194"/>
      <c r="P148" s="195"/>
      <c r="Q148" s="16"/>
    </row>
    <row r="149" spans="1:17" ht="22.05" customHeight="1" x14ac:dyDescent="0.4">
      <c r="A149" s="1"/>
      <c r="B149" s="4" t="s">
        <v>156</v>
      </c>
      <c r="C149" s="2" t="s">
        <v>489</v>
      </c>
      <c r="D149" s="188" t="s">
        <v>490</v>
      </c>
      <c r="E149" s="170"/>
      <c r="F149" s="4" t="s">
        <v>160</v>
      </c>
      <c r="G149" s="4" t="s">
        <v>491</v>
      </c>
      <c r="H149" s="4" t="s">
        <v>304</v>
      </c>
      <c r="I149" s="198" t="s">
        <v>492</v>
      </c>
      <c r="J149" s="170"/>
      <c r="K149" s="198" t="s">
        <v>488</v>
      </c>
      <c r="L149" s="170"/>
      <c r="M149" s="202"/>
      <c r="N149" s="194"/>
      <c r="O149" s="194"/>
      <c r="P149" s="195"/>
      <c r="Q149" s="16"/>
    </row>
    <row r="150" spans="1:17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6"/>
    </row>
    <row r="151" spans="1:17" ht="25.95" customHeight="1" x14ac:dyDescent="0.4">
      <c r="A151" s="1"/>
      <c r="B151" s="204" t="s">
        <v>647</v>
      </c>
      <c r="C151" s="170"/>
      <c r="D151" s="201" t="s">
        <v>706</v>
      </c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70"/>
      <c r="Q151" s="16"/>
    </row>
    <row r="152" spans="1:17" ht="30" customHeight="1" x14ac:dyDescent="0.4">
      <c r="A152" s="1"/>
      <c r="B152" s="207" t="s">
        <v>675</v>
      </c>
      <c r="C152" s="170"/>
      <c r="D152" s="188" t="s">
        <v>493</v>
      </c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70"/>
      <c r="Q152" s="16"/>
    </row>
    <row r="153" spans="1:17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6"/>
    </row>
    <row r="154" spans="1:17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6"/>
    </row>
    <row r="155" spans="1:17" ht="25.95" customHeight="1" x14ac:dyDescent="0.45">
      <c r="A155" s="1"/>
      <c r="B155" s="189" t="s">
        <v>707</v>
      </c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  <c r="M155" s="190"/>
      <c r="N155" s="190"/>
      <c r="O155" s="190"/>
      <c r="P155" s="190"/>
      <c r="Q155" s="16"/>
    </row>
    <row r="156" spans="1:17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6"/>
    </row>
    <row r="157" spans="1:17" x14ac:dyDescent="0.4">
      <c r="A157" s="1"/>
      <c r="B157" s="205" t="s">
        <v>271</v>
      </c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6"/>
    </row>
    <row r="158" spans="1:17" ht="22.05" customHeight="1" x14ac:dyDescent="0.4">
      <c r="A158" s="1"/>
      <c r="B158" s="3" t="s">
        <v>143</v>
      </c>
      <c r="C158" s="3" t="s">
        <v>26</v>
      </c>
      <c r="D158" s="209" t="s">
        <v>272</v>
      </c>
      <c r="E158" s="170"/>
      <c r="F158" s="3" t="s">
        <v>273</v>
      </c>
      <c r="G158" s="3" t="s">
        <v>274</v>
      </c>
      <c r="H158" s="3" t="s">
        <v>275</v>
      </c>
      <c r="I158" s="209" t="s">
        <v>276</v>
      </c>
      <c r="J158" s="170"/>
      <c r="K158" s="209" t="s">
        <v>102</v>
      </c>
      <c r="L158" s="170"/>
      <c r="M158" s="196" t="s">
        <v>649</v>
      </c>
      <c r="N158" s="194"/>
      <c r="O158" s="194"/>
      <c r="P158" s="195"/>
      <c r="Q158" s="16"/>
    </row>
    <row r="159" spans="1:17" ht="22.05" customHeight="1" x14ac:dyDescent="0.4">
      <c r="A159" s="1"/>
      <c r="B159" s="10" t="s">
        <v>147</v>
      </c>
      <c r="C159" s="10" t="s">
        <v>264</v>
      </c>
      <c r="D159" s="210" t="s">
        <v>494</v>
      </c>
      <c r="E159" s="170"/>
      <c r="F159" s="10" t="s">
        <v>237</v>
      </c>
      <c r="G159" s="10" t="s">
        <v>238</v>
      </c>
      <c r="H159" s="10" t="s">
        <v>265</v>
      </c>
      <c r="I159" s="203" t="s">
        <v>495</v>
      </c>
      <c r="J159" s="170"/>
      <c r="K159" s="203" t="s">
        <v>496</v>
      </c>
      <c r="L159" s="170"/>
      <c r="M159" s="199"/>
      <c r="N159" s="194"/>
      <c r="O159" s="194"/>
      <c r="P159" s="195"/>
      <c r="Q159" s="16"/>
    </row>
    <row r="160" spans="1:17" ht="22.05" customHeight="1" x14ac:dyDescent="0.4">
      <c r="A160" s="1"/>
      <c r="B160" s="4" t="s">
        <v>149</v>
      </c>
      <c r="C160" s="2" t="s">
        <v>497</v>
      </c>
      <c r="D160" s="188" t="s">
        <v>498</v>
      </c>
      <c r="E160" s="170"/>
      <c r="F160" s="4" t="s">
        <v>304</v>
      </c>
      <c r="G160" s="4" t="s">
        <v>305</v>
      </c>
      <c r="H160" s="4" t="s">
        <v>482</v>
      </c>
      <c r="I160" s="198" t="s">
        <v>499</v>
      </c>
      <c r="J160" s="170"/>
      <c r="K160" s="198" t="s">
        <v>500</v>
      </c>
      <c r="L160" s="170"/>
      <c r="M160" s="202"/>
      <c r="N160" s="194"/>
      <c r="O160" s="194"/>
      <c r="P160" s="195"/>
      <c r="Q160" s="16"/>
    </row>
    <row r="161" spans="1:17" ht="22.05" customHeight="1" x14ac:dyDescent="0.4">
      <c r="A161" s="1"/>
      <c r="B161" s="4" t="s">
        <v>151</v>
      </c>
      <c r="C161" s="2" t="s">
        <v>501</v>
      </c>
      <c r="D161" s="188" t="s">
        <v>502</v>
      </c>
      <c r="E161" s="170"/>
      <c r="F161" s="4" t="s">
        <v>331</v>
      </c>
      <c r="G161" s="4" t="s">
        <v>332</v>
      </c>
      <c r="H161" s="4" t="s">
        <v>503</v>
      </c>
      <c r="I161" s="198" t="s">
        <v>504</v>
      </c>
      <c r="J161" s="170"/>
      <c r="K161" s="198" t="s">
        <v>505</v>
      </c>
      <c r="L161" s="170"/>
      <c r="M161" s="202"/>
      <c r="N161" s="194"/>
      <c r="O161" s="194"/>
      <c r="P161" s="195"/>
      <c r="Q161" s="16"/>
    </row>
    <row r="162" spans="1:17" ht="22.05" customHeight="1" x14ac:dyDescent="0.4">
      <c r="A162" s="1"/>
      <c r="B162" s="4" t="s">
        <v>154</v>
      </c>
      <c r="C162" s="2" t="s">
        <v>506</v>
      </c>
      <c r="D162" s="188" t="s">
        <v>507</v>
      </c>
      <c r="E162" s="170"/>
      <c r="F162" s="4" t="s">
        <v>225</v>
      </c>
      <c r="G162" s="4" t="s">
        <v>226</v>
      </c>
      <c r="H162" s="4" t="s">
        <v>508</v>
      </c>
      <c r="I162" s="198" t="s">
        <v>509</v>
      </c>
      <c r="J162" s="170"/>
      <c r="K162" s="198" t="s">
        <v>510</v>
      </c>
      <c r="L162" s="170"/>
      <c r="M162" s="202"/>
      <c r="N162" s="194"/>
      <c r="O162" s="194"/>
      <c r="P162" s="195"/>
      <c r="Q162" s="16"/>
    </row>
    <row r="163" spans="1:17" ht="22.05" customHeight="1" x14ac:dyDescent="0.4">
      <c r="A163" s="1"/>
      <c r="B163" s="4" t="s">
        <v>156</v>
      </c>
      <c r="C163" s="2" t="s">
        <v>511</v>
      </c>
      <c r="D163" s="188" t="s">
        <v>512</v>
      </c>
      <c r="E163" s="170"/>
      <c r="F163" s="4" t="s">
        <v>120</v>
      </c>
      <c r="G163" s="4" t="s">
        <v>261</v>
      </c>
      <c r="H163" s="4" t="s">
        <v>482</v>
      </c>
      <c r="I163" s="198" t="s">
        <v>513</v>
      </c>
      <c r="J163" s="170"/>
      <c r="K163" s="198" t="s">
        <v>212</v>
      </c>
      <c r="L163" s="170"/>
      <c r="M163" s="202"/>
      <c r="N163" s="194"/>
      <c r="O163" s="194"/>
      <c r="P163" s="195"/>
      <c r="Q163" s="16"/>
    </row>
    <row r="164" spans="1:17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6"/>
    </row>
    <row r="165" spans="1:17" ht="25.95" customHeight="1" x14ac:dyDescent="0.4">
      <c r="A165" s="1"/>
      <c r="B165" s="204" t="s">
        <v>647</v>
      </c>
      <c r="C165" s="170"/>
      <c r="D165" s="201" t="s">
        <v>708</v>
      </c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70"/>
      <c r="Q165" s="16"/>
    </row>
    <row r="166" spans="1:17" ht="30" customHeight="1" x14ac:dyDescent="0.4">
      <c r="A166" s="1"/>
      <c r="B166" s="207" t="s">
        <v>675</v>
      </c>
      <c r="C166" s="170"/>
      <c r="D166" s="188" t="s">
        <v>514</v>
      </c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70"/>
      <c r="Q166" s="16"/>
    </row>
    <row r="167" spans="1:17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6"/>
    </row>
    <row r="168" spans="1:17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6"/>
    </row>
    <row r="169" spans="1:17" x14ac:dyDescent="0.4">
      <c r="A169" s="1"/>
      <c r="B169" s="197" t="s">
        <v>44</v>
      </c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6"/>
    </row>
    <row r="170" spans="1:17" ht="18" customHeight="1" x14ac:dyDescent="0.4">
      <c r="A170" s="1"/>
      <c r="B170" s="192" t="s">
        <v>709</v>
      </c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6"/>
    </row>
    <row r="171" spans="1:17" ht="18" customHeight="1" x14ac:dyDescent="0.4">
      <c r="A171" s="1"/>
      <c r="B171" s="192" t="s">
        <v>710</v>
      </c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6"/>
    </row>
    <row r="172" spans="1:17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6"/>
    </row>
  </sheetData>
  <mergeCells count="376">
    <mergeCell ref="D16:E16"/>
    <mergeCell ref="I16:J16"/>
    <mergeCell ref="K16:L16"/>
    <mergeCell ref="M16:P16"/>
    <mergeCell ref="D17:E17"/>
    <mergeCell ref="I17:J17"/>
    <mergeCell ref="K17:L17"/>
    <mergeCell ref="M17:P17"/>
    <mergeCell ref="D18:E18"/>
    <mergeCell ref="I18:J18"/>
    <mergeCell ref="K18:L18"/>
    <mergeCell ref="M18:P18"/>
    <mergeCell ref="B3:P3"/>
    <mergeCell ref="D49:E49"/>
    <mergeCell ref="I116:J116"/>
    <mergeCell ref="D130:E130"/>
    <mergeCell ref="D117:E117"/>
    <mergeCell ref="D51:E51"/>
    <mergeCell ref="I28:J28"/>
    <mergeCell ref="I161:J161"/>
    <mergeCell ref="K161:L161"/>
    <mergeCell ref="D102:E102"/>
    <mergeCell ref="I92:J92"/>
    <mergeCell ref="B4:P4"/>
    <mergeCell ref="B20:C20"/>
    <mergeCell ref="D8:E8"/>
    <mergeCell ref="K105:L105"/>
    <mergeCell ref="K8:L8"/>
    <mergeCell ref="D9:E9"/>
    <mergeCell ref="I47:J47"/>
    <mergeCell ref="D11:E11"/>
    <mergeCell ref="B5:P5"/>
    <mergeCell ref="I27:J27"/>
    <mergeCell ref="K27:L27"/>
    <mergeCell ref="K160:L160"/>
    <mergeCell ref="B7:P7"/>
    <mergeCell ref="D10:E10"/>
    <mergeCell ref="K145:L145"/>
    <mergeCell ref="D158:E158"/>
    <mergeCell ref="M118:P118"/>
    <mergeCell ref="M105:P105"/>
    <mergeCell ref="K74:L74"/>
    <mergeCell ref="I51:J51"/>
    <mergeCell ref="D121:E121"/>
    <mergeCell ref="M106:P106"/>
    <mergeCell ref="I77:J77"/>
    <mergeCell ref="I64:J64"/>
    <mergeCell ref="I103:J103"/>
    <mergeCell ref="K103:L103"/>
    <mergeCell ref="I118:J118"/>
    <mergeCell ref="I105:J105"/>
    <mergeCell ref="K28:L28"/>
    <mergeCell ref="D14:E14"/>
    <mergeCell ref="I14:J14"/>
    <mergeCell ref="K14:L14"/>
    <mergeCell ref="M14:P14"/>
    <mergeCell ref="D15:E15"/>
    <mergeCell ref="I15:J15"/>
    <mergeCell ref="K15:L15"/>
    <mergeCell ref="M15:P15"/>
    <mergeCell ref="M13:P13"/>
    <mergeCell ref="B23:P23"/>
    <mergeCell ref="I76:J76"/>
    <mergeCell ref="M131:P131"/>
    <mergeCell ref="K76:L76"/>
    <mergeCell ref="M133:P133"/>
    <mergeCell ref="D106:E106"/>
    <mergeCell ref="B137:C137"/>
    <mergeCell ref="B124:C124"/>
    <mergeCell ref="I79:J79"/>
    <mergeCell ref="K79:L79"/>
    <mergeCell ref="D21:P21"/>
    <mergeCell ref="M51:P51"/>
    <mergeCell ref="I89:J89"/>
    <mergeCell ref="M77:P77"/>
    <mergeCell ref="K49:L49"/>
    <mergeCell ref="D63:E63"/>
    <mergeCell ref="I130:J130"/>
    <mergeCell ref="D134:E134"/>
    <mergeCell ref="I117:J117"/>
    <mergeCell ref="K92:L92"/>
    <mergeCell ref="D64:E64"/>
    <mergeCell ref="K91:L91"/>
    <mergeCell ref="D104:E104"/>
    <mergeCell ref="B171:P171"/>
    <mergeCell ref="M144:P144"/>
    <mergeCell ref="K89:L89"/>
    <mergeCell ref="D30:E30"/>
    <mergeCell ref="B73:P73"/>
    <mergeCell ref="M146:P146"/>
    <mergeCell ref="D110:P110"/>
    <mergeCell ref="K90:L90"/>
    <mergeCell ref="M60:P60"/>
    <mergeCell ref="I148:J148"/>
    <mergeCell ref="M75:P75"/>
    <mergeCell ref="I104:J104"/>
    <mergeCell ref="D165:P165"/>
    <mergeCell ref="B40:C40"/>
    <mergeCell ref="M149:P149"/>
    <mergeCell ref="D159:E159"/>
    <mergeCell ref="I163:J163"/>
    <mergeCell ref="D53:P53"/>
    <mergeCell ref="K93:L93"/>
    <mergeCell ref="K158:L158"/>
    <mergeCell ref="D32:E32"/>
    <mergeCell ref="I32:J32"/>
    <mergeCell ref="K32:L32"/>
    <mergeCell ref="M32:P32"/>
    <mergeCell ref="D20:P20"/>
    <mergeCell ref="M64:P64"/>
    <mergeCell ref="D91:E91"/>
    <mergeCell ref="D162:E162"/>
    <mergeCell ref="M30:P30"/>
    <mergeCell ref="B169:P169"/>
    <mergeCell ref="D93:E93"/>
    <mergeCell ref="M103:P103"/>
    <mergeCell ref="M78:P78"/>
    <mergeCell ref="D33:E33"/>
    <mergeCell ref="I33:J33"/>
    <mergeCell ref="K33:L33"/>
    <mergeCell ref="M33:P33"/>
    <mergeCell ref="D34:E34"/>
    <mergeCell ref="I34:J34"/>
    <mergeCell ref="K34:L34"/>
    <mergeCell ref="M34:P34"/>
    <mergeCell ref="D35:E35"/>
    <mergeCell ref="I35:J35"/>
    <mergeCell ref="K35:L35"/>
    <mergeCell ref="M35:P35"/>
    <mergeCell ref="D36:E36"/>
    <mergeCell ref="I36:J36"/>
    <mergeCell ref="K36:L36"/>
    <mergeCell ref="I29:J29"/>
    <mergeCell ref="D161:E161"/>
    <mergeCell ref="I75:J75"/>
    <mergeCell ref="M130:P130"/>
    <mergeCell ref="I62:J62"/>
    <mergeCell ref="M117:P117"/>
    <mergeCell ref="I74:J74"/>
    <mergeCell ref="D65:E65"/>
    <mergeCell ref="D152:P152"/>
    <mergeCell ref="K132:L132"/>
    <mergeCell ref="B141:P141"/>
    <mergeCell ref="K119:L119"/>
    <mergeCell ref="M29:P29"/>
    <mergeCell ref="M62:P62"/>
    <mergeCell ref="M74:P74"/>
    <mergeCell ref="B71:P71"/>
    <mergeCell ref="M76:P76"/>
    <mergeCell ref="D123:P123"/>
    <mergeCell ref="K134:L134"/>
    <mergeCell ref="I88:J88"/>
    <mergeCell ref="M36:P36"/>
    <mergeCell ref="B170:P170"/>
    <mergeCell ref="B165:C165"/>
    <mergeCell ref="D46:E46"/>
    <mergeCell ref="K163:L163"/>
    <mergeCell ref="M10:P10"/>
    <mergeCell ref="B96:C96"/>
    <mergeCell ref="K13:L13"/>
    <mergeCell ref="D160:E160"/>
    <mergeCell ref="I131:J131"/>
    <mergeCell ref="D135:E135"/>
    <mergeCell ref="M107:P107"/>
    <mergeCell ref="I133:J133"/>
    <mergeCell ref="K133:L133"/>
    <mergeCell ref="K116:L116"/>
    <mergeCell ref="D151:P151"/>
    <mergeCell ref="B95:C95"/>
    <mergeCell ref="K47:L47"/>
    <mergeCell ref="K118:L118"/>
    <mergeCell ref="B25:P25"/>
    <mergeCell ref="B21:C21"/>
    <mergeCell ref="I149:J149"/>
    <mergeCell ref="K78:L78"/>
    <mergeCell ref="D90:E90"/>
    <mergeCell ref="B166:C166"/>
    <mergeCell ref="M27:P27"/>
    <mergeCell ref="I146:J146"/>
    <mergeCell ref="M104:P104"/>
    <mergeCell ref="K146:L146"/>
    <mergeCell ref="K50:L50"/>
    <mergeCell ref="D78:E78"/>
    <mergeCell ref="D105:E105"/>
    <mergeCell ref="K29:L29"/>
    <mergeCell ref="I31:J31"/>
    <mergeCell ref="M92:P92"/>
    <mergeCell ref="K31:L31"/>
    <mergeCell ref="B143:P143"/>
    <mergeCell ref="B138:C138"/>
    <mergeCell ref="B85:P85"/>
    <mergeCell ref="D131:E131"/>
    <mergeCell ref="I61:J61"/>
    <mergeCell ref="B68:C68"/>
    <mergeCell ref="D67:P67"/>
    <mergeCell ref="D132:E132"/>
    <mergeCell ref="D119:E119"/>
    <mergeCell ref="I49:J49"/>
    <mergeCell ref="D145:E145"/>
    <mergeCell ref="I132:J132"/>
    <mergeCell ref="D137:P137"/>
    <mergeCell ref="D39:P39"/>
    <mergeCell ref="M91:P91"/>
    <mergeCell ref="D75:E75"/>
    <mergeCell ref="M159:P159"/>
    <mergeCell ref="D138:P138"/>
    <mergeCell ref="D92:E92"/>
    <mergeCell ref="I144:J144"/>
    <mergeCell ref="M102:P102"/>
    <mergeCell ref="K144:L144"/>
    <mergeCell ref="K159:L159"/>
    <mergeCell ref="M148:P148"/>
    <mergeCell ref="K148:L148"/>
    <mergeCell ref="B157:P157"/>
    <mergeCell ref="D147:E147"/>
    <mergeCell ref="K121:L121"/>
    <mergeCell ref="B155:P155"/>
    <mergeCell ref="B115:P115"/>
    <mergeCell ref="I60:J60"/>
    <mergeCell ref="M12:P12"/>
    <mergeCell ref="M93:P93"/>
    <mergeCell ref="M49:P49"/>
    <mergeCell ref="M158:P158"/>
    <mergeCell ref="D163:E163"/>
    <mergeCell ref="B59:P59"/>
    <mergeCell ref="B54:C54"/>
    <mergeCell ref="D116:E116"/>
    <mergeCell ref="B2:P2"/>
    <mergeCell ref="D109:P109"/>
    <mergeCell ref="B53:C53"/>
    <mergeCell ref="D47:E47"/>
    <mergeCell ref="D118:E118"/>
    <mergeCell ref="I120:J120"/>
    <mergeCell ref="I107:J107"/>
    <mergeCell ref="M65:P65"/>
    <mergeCell ref="K107:L107"/>
    <mergeCell ref="D48:E48"/>
    <mergeCell ref="K147:L147"/>
    <mergeCell ref="D50:E50"/>
    <mergeCell ref="B87:P87"/>
    <mergeCell ref="D144:E144"/>
    <mergeCell ref="B81:C81"/>
    <mergeCell ref="I30:J30"/>
    <mergeCell ref="M26:P26"/>
    <mergeCell ref="D120:E120"/>
    <mergeCell ref="B39:C39"/>
    <mergeCell ref="I91:J91"/>
    <mergeCell ref="B123:C123"/>
    <mergeCell ref="B110:C110"/>
    <mergeCell ref="M160:P160"/>
    <mergeCell ref="K10:L10"/>
    <mergeCell ref="D27:E27"/>
    <mergeCell ref="I12:J12"/>
    <mergeCell ref="I93:J93"/>
    <mergeCell ref="K12:L12"/>
    <mergeCell ref="K149:L149"/>
    <mergeCell ref="I158:J158"/>
    <mergeCell ref="D40:P40"/>
    <mergeCell ref="K62:L62"/>
    <mergeCell ref="B57:P57"/>
    <mergeCell ref="M135:P135"/>
    <mergeCell ref="D68:P68"/>
    <mergeCell ref="I106:J106"/>
    <mergeCell ref="K131:L131"/>
    <mergeCell ref="K75:L75"/>
    <mergeCell ref="D103:E103"/>
    <mergeCell ref="D28:E28"/>
    <mergeCell ref="D148:E148"/>
    <mergeCell ref="I78:J78"/>
    <mergeCell ref="I65:J65"/>
    <mergeCell ref="K65:L65"/>
    <mergeCell ref="D79:E79"/>
    <mergeCell ref="B43:P43"/>
    <mergeCell ref="I90:J90"/>
    <mergeCell ref="M145:P145"/>
    <mergeCell ref="K60:L60"/>
    <mergeCell ref="M147:P147"/>
    <mergeCell ref="M90:P90"/>
    <mergeCell ref="B67:C67"/>
    <mergeCell ref="M46:P46"/>
    <mergeCell ref="B152:C152"/>
    <mergeCell ref="B99:P99"/>
    <mergeCell ref="I9:J9"/>
    <mergeCell ref="D13:E13"/>
    <mergeCell ref="D166:P166"/>
    <mergeCell ref="K9:L9"/>
    <mergeCell ref="B101:P101"/>
    <mergeCell ref="I46:J46"/>
    <mergeCell ref="I11:J11"/>
    <mergeCell ref="K46:L46"/>
    <mergeCell ref="K11:L11"/>
    <mergeCell ref="K77:L77"/>
    <mergeCell ref="D89:E89"/>
    <mergeCell ref="M31:P31"/>
    <mergeCell ref="D107:E107"/>
    <mergeCell ref="B127:P127"/>
    <mergeCell ref="M132:P132"/>
    <mergeCell ref="B109:C109"/>
    <mergeCell ref="M11:P11"/>
    <mergeCell ref="M119:P119"/>
    <mergeCell ref="I10:J10"/>
    <mergeCell ref="M63:P63"/>
    <mergeCell ref="M134:P134"/>
    <mergeCell ref="I26:J26"/>
    <mergeCell ref="I8:J8"/>
    <mergeCell ref="M163:P163"/>
    <mergeCell ref="K61:L61"/>
    <mergeCell ref="K30:L30"/>
    <mergeCell ref="D96:P96"/>
    <mergeCell ref="D146:E146"/>
    <mergeCell ref="B45:P45"/>
    <mergeCell ref="M162:P162"/>
    <mergeCell ref="D95:P95"/>
    <mergeCell ref="K51:L51"/>
    <mergeCell ref="M8:P8"/>
    <mergeCell ref="D29:E29"/>
    <mergeCell ref="M116:P116"/>
    <mergeCell ref="K104:L104"/>
    <mergeCell ref="B113:P113"/>
    <mergeCell ref="D62:E62"/>
    <mergeCell ref="D31:E31"/>
    <mergeCell ref="M47:P47"/>
    <mergeCell ref="I160:J160"/>
    <mergeCell ref="D74:E74"/>
    <mergeCell ref="I135:J135"/>
    <mergeCell ref="K64:L64"/>
    <mergeCell ref="M9:P9"/>
    <mergeCell ref="K135:L135"/>
    <mergeCell ref="D12:E12"/>
    <mergeCell ref="I145:J145"/>
    <mergeCell ref="D82:P82"/>
    <mergeCell ref="D149:E149"/>
    <mergeCell ref="B151:C151"/>
    <mergeCell ref="M28:P28"/>
    <mergeCell ref="I147:J147"/>
    <mergeCell ref="M161:P161"/>
    <mergeCell ref="K26:L26"/>
    <mergeCell ref="D88:E88"/>
    <mergeCell ref="D76:E76"/>
    <mergeCell ref="M48:P48"/>
    <mergeCell ref="I159:J159"/>
    <mergeCell ref="I102:J102"/>
    <mergeCell ref="K102:L102"/>
    <mergeCell ref="K120:L120"/>
    <mergeCell ref="I13:J13"/>
    <mergeCell ref="D26:E26"/>
    <mergeCell ref="B129:P129"/>
    <mergeCell ref="M88:P88"/>
    <mergeCell ref="D61:E61"/>
    <mergeCell ref="D54:P54"/>
    <mergeCell ref="B82:C82"/>
    <mergeCell ref="M61:P61"/>
    <mergeCell ref="I162:J162"/>
    <mergeCell ref="K162:L162"/>
    <mergeCell ref="M89:P89"/>
    <mergeCell ref="I121:J121"/>
    <mergeCell ref="I48:J48"/>
    <mergeCell ref="I119:J119"/>
    <mergeCell ref="K48:L48"/>
    <mergeCell ref="D133:E133"/>
    <mergeCell ref="I63:J63"/>
    <mergeCell ref="I134:J134"/>
    <mergeCell ref="D60:E60"/>
    <mergeCell ref="K63:L63"/>
    <mergeCell ref="I50:J50"/>
    <mergeCell ref="D81:P81"/>
    <mergeCell ref="M79:P79"/>
    <mergeCell ref="D124:P124"/>
    <mergeCell ref="K88:L88"/>
    <mergeCell ref="K106:L106"/>
    <mergeCell ref="D77:E77"/>
    <mergeCell ref="M120:P120"/>
    <mergeCell ref="K130:L130"/>
    <mergeCell ref="K117:L117"/>
    <mergeCell ref="M50:P50"/>
    <mergeCell ref="M121:P121"/>
  </mergeCells>
  <phoneticPr fontId="1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showGridLines="0" workbookViewId="0">
      <selection activeCell="I57" sqref="I57"/>
    </sheetView>
  </sheetViews>
  <sheetFormatPr defaultRowHeight="17.399999999999999" x14ac:dyDescent="0.4"/>
  <cols>
    <col min="1" max="1" width="3" customWidth="1"/>
    <col min="2" max="3" width="14" customWidth="1"/>
    <col min="4" max="4" width="11" customWidth="1"/>
    <col min="5" max="5" width="10" customWidth="1"/>
    <col min="6" max="6" width="9" customWidth="1"/>
    <col min="7" max="7" width="11" customWidth="1"/>
    <col min="8" max="14" width="10" customWidth="1"/>
  </cols>
  <sheetData>
    <row r="1" spans="1:15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6"/>
    </row>
    <row r="2" spans="1:15" ht="34.200000000000003" x14ac:dyDescent="0.8">
      <c r="A2" s="1"/>
      <c r="B2" s="183" t="s">
        <v>711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6"/>
    </row>
    <row r="3" spans="1:15" x14ac:dyDescent="0.4">
      <c r="A3" s="1"/>
      <c r="B3" s="187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6"/>
    </row>
    <row r="4" spans="1:15" ht="20.399999999999999" x14ac:dyDescent="0.5">
      <c r="A4" s="1"/>
      <c r="B4" s="213" t="s">
        <v>717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6"/>
    </row>
    <row r="5" spans="1:15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6"/>
    </row>
    <row r="6" spans="1:15" ht="24" customHeight="1" x14ac:dyDescent="0.4">
      <c r="A6" s="1"/>
      <c r="B6" s="171" t="s">
        <v>538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70"/>
      <c r="O6" s="16"/>
    </row>
    <row r="7" spans="1:15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6"/>
    </row>
    <row r="8" spans="1:15" ht="24" customHeight="1" x14ac:dyDescent="0.4">
      <c r="A8" s="1"/>
      <c r="B8" s="78" t="s">
        <v>27</v>
      </c>
      <c r="C8" s="78" t="s">
        <v>539</v>
      </c>
      <c r="D8" s="78" t="s">
        <v>540</v>
      </c>
      <c r="E8" s="196" t="s">
        <v>541</v>
      </c>
      <c r="F8" s="194"/>
      <c r="G8" s="194"/>
      <c r="H8" s="194"/>
      <c r="I8" s="195"/>
      <c r="J8" s="196" t="s">
        <v>542</v>
      </c>
      <c r="K8" s="194"/>
      <c r="L8" s="194"/>
      <c r="M8" s="194"/>
      <c r="N8" s="195"/>
      <c r="O8" s="16"/>
    </row>
    <row r="9" spans="1:15" ht="42" customHeight="1" x14ac:dyDescent="0.4">
      <c r="A9" s="1"/>
      <c r="B9" s="79" t="s">
        <v>200</v>
      </c>
      <c r="C9" s="104" t="s">
        <v>543</v>
      </c>
      <c r="D9" s="107" t="s">
        <v>544</v>
      </c>
      <c r="E9" s="193" t="s">
        <v>718</v>
      </c>
      <c r="F9" s="194"/>
      <c r="G9" s="194"/>
      <c r="H9" s="194"/>
      <c r="I9" s="195"/>
      <c r="J9" s="212" t="s">
        <v>719</v>
      </c>
      <c r="K9" s="194"/>
      <c r="L9" s="194"/>
      <c r="M9" s="194"/>
      <c r="N9" s="195"/>
      <c r="O9" s="16"/>
    </row>
    <row r="10" spans="1:15" ht="42" customHeight="1" x14ac:dyDescent="0.4">
      <c r="A10" s="1"/>
      <c r="B10" s="79" t="s">
        <v>29</v>
      </c>
      <c r="C10" s="104" t="s">
        <v>545</v>
      </c>
      <c r="D10" s="108" t="s">
        <v>546</v>
      </c>
      <c r="E10" s="193" t="s">
        <v>720</v>
      </c>
      <c r="F10" s="194"/>
      <c r="G10" s="194"/>
      <c r="H10" s="194"/>
      <c r="I10" s="195"/>
      <c r="J10" s="212" t="s">
        <v>721</v>
      </c>
      <c r="K10" s="194"/>
      <c r="L10" s="194"/>
      <c r="M10" s="194"/>
      <c r="N10" s="195"/>
      <c r="O10" s="16"/>
    </row>
    <row r="11" spans="1:15" ht="42" customHeight="1" x14ac:dyDescent="0.4">
      <c r="A11" s="1"/>
      <c r="B11" s="79" t="s">
        <v>82</v>
      </c>
      <c r="C11" s="104" t="s">
        <v>547</v>
      </c>
      <c r="D11" s="109" t="s">
        <v>548</v>
      </c>
      <c r="E11" s="193" t="s">
        <v>549</v>
      </c>
      <c r="F11" s="194"/>
      <c r="G11" s="194"/>
      <c r="H11" s="194"/>
      <c r="I11" s="195"/>
      <c r="J11" s="212" t="s">
        <v>550</v>
      </c>
      <c r="K11" s="194"/>
      <c r="L11" s="194"/>
      <c r="M11" s="194"/>
      <c r="N11" s="195"/>
      <c r="O11" s="16"/>
    </row>
    <row r="12" spans="1:15" ht="42" customHeight="1" x14ac:dyDescent="0.4">
      <c r="A12" s="1"/>
      <c r="B12" s="91" t="s">
        <v>723</v>
      </c>
      <c r="C12" s="104" t="s">
        <v>551</v>
      </c>
      <c r="D12" s="108" t="s">
        <v>546</v>
      </c>
      <c r="E12" s="193" t="s">
        <v>722</v>
      </c>
      <c r="F12" s="194"/>
      <c r="G12" s="194"/>
      <c r="H12" s="194"/>
      <c r="I12" s="195"/>
      <c r="J12" s="212" t="s">
        <v>725</v>
      </c>
      <c r="K12" s="194"/>
      <c r="L12" s="194"/>
      <c r="M12" s="194"/>
      <c r="N12" s="195"/>
      <c r="O12" s="16"/>
    </row>
    <row r="13" spans="1:15" ht="42" customHeight="1" x14ac:dyDescent="0.4">
      <c r="A13" s="1"/>
      <c r="B13" s="79" t="s">
        <v>31</v>
      </c>
      <c r="C13" s="104" t="s">
        <v>552</v>
      </c>
      <c r="D13" s="109" t="s">
        <v>548</v>
      </c>
      <c r="E13" s="193" t="s">
        <v>724</v>
      </c>
      <c r="F13" s="194"/>
      <c r="G13" s="194"/>
      <c r="H13" s="194"/>
      <c r="I13" s="195"/>
      <c r="J13" s="212" t="s">
        <v>726</v>
      </c>
      <c r="K13" s="194"/>
      <c r="L13" s="194"/>
      <c r="M13" s="194"/>
      <c r="N13" s="195"/>
      <c r="O13" s="16"/>
    </row>
    <row r="14" spans="1:15" ht="42" customHeight="1" x14ac:dyDescent="0.4">
      <c r="A14" s="1"/>
      <c r="B14" s="79" t="s">
        <v>40</v>
      </c>
      <c r="C14" s="104" t="s">
        <v>553</v>
      </c>
      <c r="D14" s="109" t="s">
        <v>548</v>
      </c>
      <c r="E14" s="193" t="s">
        <v>727</v>
      </c>
      <c r="F14" s="194"/>
      <c r="G14" s="194"/>
      <c r="H14" s="194"/>
      <c r="I14" s="195"/>
      <c r="J14" s="212" t="s">
        <v>728</v>
      </c>
      <c r="K14" s="194"/>
      <c r="L14" s="194"/>
      <c r="M14" s="194"/>
      <c r="N14" s="195"/>
      <c r="O14" s="16"/>
    </row>
    <row r="15" spans="1:15" ht="42" customHeight="1" x14ac:dyDescent="0.4">
      <c r="A15" s="1"/>
      <c r="B15" s="91" t="s">
        <v>729</v>
      </c>
      <c r="C15" s="104" t="s">
        <v>554</v>
      </c>
      <c r="D15" s="109" t="s">
        <v>548</v>
      </c>
      <c r="E15" s="193" t="s">
        <v>555</v>
      </c>
      <c r="F15" s="194"/>
      <c r="G15" s="194"/>
      <c r="H15" s="194"/>
      <c r="I15" s="195"/>
      <c r="J15" s="212" t="s">
        <v>728</v>
      </c>
      <c r="K15" s="194"/>
      <c r="L15" s="194"/>
      <c r="M15" s="194"/>
      <c r="N15" s="195"/>
      <c r="O15" s="16"/>
    </row>
    <row r="16" spans="1:15" ht="42" customHeight="1" x14ac:dyDescent="0.4">
      <c r="A16" s="1"/>
      <c r="B16" s="79" t="s">
        <v>556</v>
      </c>
      <c r="C16" s="104" t="s">
        <v>730</v>
      </c>
      <c r="D16" s="110" t="s">
        <v>557</v>
      </c>
      <c r="E16" s="193" t="s">
        <v>558</v>
      </c>
      <c r="F16" s="194"/>
      <c r="G16" s="194"/>
      <c r="H16" s="194"/>
      <c r="I16" s="195"/>
      <c r="J16" s="212" t="s">
        <v>736</v>
      </c>
      <c r="K16" s="194"/>
      <c r="L16" s="194"/>
      <c r="M16" s="194"/>
      <c r="N16" s="195"/>
      <c r="O16" s="16"/>
    </row>
    <row r="17" spans="1:15" ht="42" customHeight="1" x14ac:dyDescent="0.4">
      <c r="A17" s="1"/>
      <c r="B17" s="79" t="s">
        <v>559</v>
      </c>
      <c r="C17" s="104" t="s">
        <v>730</v>
      </c>
      <c r="D17" s="110" t="s">
        <v>557</v>
      </c>
      <c r="E17" s="193" t="s">
        <v>560</v>
      </c>
      <c r="F17" s="194"/>
      <c r="G17" s="194"/>
      <c r="H17" s="194"/>
      <c r="I17" s="195"/>
      <c r="J17" s="212" t="s">
        <v>735</v>
      </c>
      <c r="K17" s="194"/>
      <c r="L17" s="194"/>
      <c r="M17" s="194"/>
      <c r="N17" s="195"/>
      <c r="O17" s="16"/>
    </row>
    <row r="18" spans="1:15" ht="42" customHeight="1" x14ac:dyDescent="0.4">
      <c r="A18" s="1"/>
      <c r="B18" s="79" t="s">
        <v>561</v>
      </c>
      <c r="C18" s="104" t="s">
        <v>730</v>
      </c>
      <c r="D18" s="110" t="s">
        <v>557</v>
      </c>
      <c r="E18" s="193" t="s">
        <v>562</v>
      </c>
      <c r="F18" s="194"/>
      <c r="G18" s="194"/>
      <c r="H18" s="194"/>
      <c r="I18" s="195"/>
      <c r="J18" s="212" t="s">
        <v>734</v>
      </c>
      <c r="K18" s="194"/>
      <c r="L18" s="194"/>
      <c r="M18" s="194"/>
      <c r="N18" s="195"/>
      <c r="O18" s="16"/>
    </row>
    <row r="19" spans="1:15" ht="42" customHeight="1" x14ac:dyDescent="0.4">
      <c r="A19" s="1"/>
      <c r="B19" s="79" t="s">
        <v>515</v>
      </c>
      <c r="C19" s="104" t="s">
        <v>731</v>
      </c>
      <c r="D19" s="109" t="s">
        <v>548</v>
      </c>
      <c r="E19" s="193" t="s">
        <v>732</v>
      </c>
      <c r="F19" s="194"/>
      <c r="G19" s="194"/>
      <c r="H19" s="194"/>
      <c r="I19" s="195"/>
      <c r="J19" s="212" t="s">
        <v>733</v>
      </c>
      <c r="K19" s="194"/>
      <c r="L19" s="194"/>
      <c r="M19" s="194"/>
      <c r="N19" s="195"/>
      <c r="O19" s="16"/>
    </row>
    <row r="20" spans="1:15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6"/>
    </row>
    <row r="21" spans="1:15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6"/>
    </row>
    <row r="22" spans="1:15" ht="20.399999999999999" x14ac:dyDescent="0.5">
      <c r="A22" s="1"/>
      <c r="B22" s="213" t="s">
        <v>737</v>
      </c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6"/>
    </row>
    <row r="23" spans="1:15" ht="4.8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6"/>
    </row>
    <row r="24" spans="1:15" ht="24" customHeight="1" x14ac:dyDescent="0.4">
      <c r="A24" s="1"/>
      <c r="B24" s="3" t="s">
        <v>46</v>
      </c>
      <c r="C24" s="3" t="s">
        <v>563</v>
      </c>
      <c r="D24" s="3" t="s">
        <v>738</v>
      </c>
      <c r="E24" s="3" t="s">
        <v>564</v>
      </c>
      <c r="F24" s="3" t="s">
        <v>565</v>
      </c>
      <c r="G24" s="209" t="s">
        <v>566</v>
      </c>
      <c r="H24" s="169"/>
      <c r="I24" s="169"/>
      <c r="J24" s="169"/>
      <c r="K24" s="169"/>
      <c r="L24" s="169"/>
      <c r="M24" s="169"/>
      <c r="N24" s="170"/>
      <c r="O24" s="16"/>
    </row>
    <row r="25" spans="1:15" ht="36" customHeight="1" x14ac:dyDescent="0.4">
      <c r="A25" s="1"/>
      <c r="B25" s="2" t="s">
        <v>50</v>
      </c>
      <c r="C25" s="4" t="s">
        <v>567</v>
      </c>
      <c r="D25" s="4" t="s">
        <v>568</v>
      </c>
      <c r="E25" s="4" t="s">
        <v>569</v>
      </c>
      <c r="F25" s="11" t="s">
        <v>570</v>
      </c>
      <c r="G25" s="188" t="s">
        <v>742</v>
      </c>
      <c r="H25" s="169"/>
      <c r="I25" s="169"/>
      <c r="J25" s="169"/>
      <c r="K25" s="169"/>
      <c r="L25" s="169"/>
      <c r="M25" s="169"/>
      <c r="N25" s="170"/>
      <c r="O25" s="16"/>
    </row>
    <row r="26" spans="1:15" ht="36" customHeight="1" x14ac:dyDescent="0.4">
      <c r="A26" s="1"/>
      <c r="B26" s="2" t="s">
        <v>54</v>
      </c>
      <c r="C26" s="4" t="s">
        <v>571</v>
      </c>
      <c r="D26" s="4" t="s">
        <v>572</v>
      </c>
      <c r="E26" s="4" t="s">
        <v>573</v>
      </c>
      <c r="F26" s="11" t="s">
        <v>570</v>
      </c>
      <c r="G26" s="188" t="s">
        <v>743</v>
      </c>
      <c r="H26" s="169"/>
      <c r="I26" s="169"/>
      <c r="J26" s="169"/>
      <c r="K26" s="169"/>
      <c r="L26" s="169"/>
      <c r="M26" s="169"/>
      <c r="N26" s="170"/>
      <c r="O26" s="16"/>
    </row>
    <row r="27" spans="1:15" ht="36" customHeight="1" x14ac:dyDescent="0.4">
      <c r="A27" s="1"/>
      <c r="B27" s="2" t="s">
        <v>739</v>
      </c>
      <c r="C27" s="4" t="s">
        <v>574</v>
      </c>
      <c r="D27" s="4" t="s">
        <v>741</v>
      </c>
      <c r="E27" s="4" t="s">
        <v>575</v>
      </c>
      <c r="F27" s="11" t="s">
        <v>576</v>
      </c>
      <c r="G27" s="188" t="s">
        <v>744</v>
      </c>
      <c r="H27" s="169"/>
      <c r="I27" s="169"/>
      <c r="J27" s="169"/>
      <c r="K27" s="169"/>
      <c r="L27" s="169"/>
      <c r="M27" s="169"/>
      <c r="N27" s="170"/>
      <c r="O27" s="16"/>
    </row>
    <row r="28" spans="1:15" ht="36" customHeight="1" x14ac:dyDescent="0.4">
      <c r="A28" s="1"/>
      <c r="B28" s="2" t="s">
        <v>58</v>
      </c>
      <c r="C28" s="4" t="s">
        <v>571</v>
      </c>
      <c r="D28" s="4" t="s">
        <v>577</v>
      </c>
      <c r="E28" s="4" t="s">
        <v>578</v>
      </c>
      <c r="F28" s="12" t="s">
        <v>579</v>
      </c>
      <c r="G28" s="188" t="s">
        <v>745</v>
      </c>
      <c r="H28" s="169"/>
      <c r="I28" s="169"/>
      <c r="J28" s="169"/>
      <c r="K28" s="169"/>
      <c r="L28" s="169"/>
      <c r="M28" s="169"/>
      <c r="N28" s="170"/>
      <c r="O28" s="16"/>
    </row>
    <row r="29" spans="1:15" ht="36" customHeight="1" x14ac:dyDescent="0.4">
      <c r="A29" s="1"/>
      <c r="B29" s="2" t="s">
        <v>580</v>
      </c>
      <c r="C29" s="4" t="s">
        <v>581</v>
      </c>
      <c r="D29" s="4" t="s">
        <v>740</v>
      </c>
      <c r="E29" s="4" t="s">
        <v>582</v>
      </c>
      <c r="F29" s="11" t="s">
        <v>576</v>
      </c>
      <c r="G29" s="188" t="s">
        <v>746</v>
      </c>
      <c r="H29" s="169"/>
      <c r="I29" s="169"/>
      <c r="J29" s="169"/>
      <c r="K29" s="169"/>
      <c r="L29" s="169"/>
      <c r="M29" s="169"/>
      <c r="N29" s="170"/>
      <c r="O29" s="16"/>
    </row>
    <row r="30" spans="1:15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6"/>
    </row>
    <row r="31" spans="1:15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6"/>
    </row>
    <row r="32" spans="1:15" ht="20.399999999999999" x14ac:dyDescent="0.5">
      <c r="A32" s="1"/>
      <c r="B32" s="213" t="s">
        <v>756</v>
      </c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6"/>
    </row>
    <row r="33" spans="1:15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6"/>
    </row>
    <row r="34" spans="1:15" ht="36" customHeight="1" x14ac:dyDescent="0.4">
      <c r="A34" s="1"/>
      <c r="B34" s="13" t="s">
        <v>583</v>
      </c>
      <c r="C34" s="171" t="s">
        <v>584</v>
      </c>
      <c r="D34" s="170"/>
      <c r="E34" s="188" t="s">
        <v>747</v>
      </c>
      <c r="F34" s="169"/>
      <c r="G34" s="169"/>
      <c r="H34" s="169"/>
      <c r="I34" s="169"/>
      <c r="J34" s="170"/>
      <c r="K34" s="214" t="s">
        <v>748</v>
      </c>
      <c r="L34" s="169"/>
      <c r="M34" s="169"/>
      <c r="N34" s="170"/>
      <c r="O34" s="16"/>
    </row>
    <row r="35" spans="1:15" ht="36" customHeight="1" x14ac:dyDescent="0.4">
      <c r="A35" s="1"/>
      <c r="B35" s="13" t="s">
        <v>585</v>
      </c>
      <c r="C35" s="171" t="s">
        <v>586</v>
      </c>
      <c r="D35" s="170"/>
      <c r="E35" s="188" t="s">
        <v>750</v>
      </c>
      <c r="F35" s="169"/>
      <c r="G35" s="169"/>
      <c r="H35" s="169"/>
      <c r="I35" s="169"/>
      <c r="J35" s="170"/>
      <c r="K35" s="214" t="s">
        <v>749</v>
      </c>
      <c r="L35" s="169"/>
      <c r="M35" s="169"/>
      <c r="N35" s="170"/>
      <c r="O35" s="16"/>
    </row>
    <row r="36" spans="1:15" ht="36" customHeight="1" x14ac:dyDescent="0.4">
      <c r="A36" s="1"/>
      <c r="B36" s="13" t="s">
        <v>587</v>
      </c>
      <c r="C36" s="171" t="s">
        <v>588</v>
      </c>
      <c r="D36" s="170"/>
      <c r="E36" s="188" t="s">
        <v>751</v>
      </c>
      <c r="F36" s="169"/>
      <c r="G36" s="169"/>
      <c r="H36" s="169"/>
      <c r="I36" s="169"/>
      <c r="J36" s="170"/>
      <c r="K36" s="214" t="s">
        <v>752</v>
      </c>
      <c r="L36" s="169"/>
      <c r="M36" s="169"/>
      <c r="N36" s="170"/>
      <c r="O36" s="16"/>
    </row>
    <row r="37" spans="1:15" ht="36" customHeight="1" x14ac:dyDescent="0.4">
      <c r="A37" s="1"/>
      <c r="B37" s="13" t="s">
        <v>589</v>
      </c>
      <c r="C37" s="171" t="s">
        <v>753</v>
      </c>
      <c r="D37" s="170"/>
      <c r="E37" s="188" t="s">
        <v>754</v>
      </c>
      <c r="F37" s="169"/>
      <c r="G37" s="169"/>
      <c r="H37" s="169"/>
      <c r="I37" s="169"/>
      <c r="J37" s="170"/>
      <c r="K37" s="214" t="s">
        <v>755</v>
      </c>
      <c r="L37" s="169"/>
      <c r="M37" s="169"/>
      <c r="N37" s="170"/>
      <c r="O37" s="16"/>
    </row>
    <row r="38" spans="1:15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6"/>
    </row>
    <row r="39" spans="1:15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6"/>
    </row>
    <row r="40" spans="1:15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6"/>
    </row>
    <row r="41" spans="1:15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6"/>
    </row>
    <row r="45" spans="1:15" x14ac:dyDescent="0.4">
      <c r="B45" s="14"/>
      <c r="C45" s="14"/>
    </row>
  </sheetData>
  <mergeCells count="48">
    <mergeCell ref="B2:N2"/>
    <mergeCell ref="E35:J35"/>
    <mergeCell ref="J15:N15"/>
    <mergeCell ref="J14:N14"/>
    <mergeCell ref="E18:I18"/>
    <mergeCell ref="B6:N6"/>
    <mergeCell ref="J16:N16"/>
    <mergeCell ref="B3:N3"/>
    <mergeCell ref="C35:D35"/>
    <mergeCell ref="J18:N18"/>
    <mergeCell ref="E19:I19"/>
    <mergeCell ref="G28:N28"/>
    <mergeCell ref="K34:N34"/>
    <mergeCell ref="B4:N4"/>
    <mergeCell ref="K37:N37"/>
    <mergeCell ref="C34:D34"/>
    <mergeCell ref="E36:J36"/>
    <mergeCell ref="E8:I8"/>
    <mergeCell ref="J8:N8"/>
    <mergeCell ref="J17:N17"/>
    <mergeCell ref="G27:N27"/>
    <mergeCell ref="J19:N19"/>
    <mergeCell ref="J9:N9"/>
    <mergeCell ref="E13:I13"/>
    <mergeCell ref="E15:I15"/>
    <mergeCell ref="E9:I9"/>
    <mergeCell ref="E10:I10"/>
    <mergeCell ref="J10:N10"/>
    <mergeCell ref="G24:N24"/>
    <mergeCell ref="E17:I17"/>
    <mergeCell ref="J12:N12"/>
    <mergeCell ref="B22:N22"/>
    <mergeCell ref="J11:N11"/>
    <mergeCell ref="E14:I14"/>
    <mergeCell ref="E11:I11"/>
    <mergeCell ref="C37:D37"/>
    <mergeCell ref="G25:N25"/>
    <mergeCell ref="E12:I12"/>
    <mergeCell ref="E34:J34"/>
    <mergeCell ref="G29:N29"/>
    <mergeCell ref="B32:N32"/>
    <mergeCell ref="K36:N36"/>
    <mergeCell ref="E16:I16"/>
    <mergeCell ref="E37:J37"/>
    <mergeCell ref="G26:N26"/>
    <mergeCell ref="K35:N35"/>
    <mergeCell ref="C36:D36"/>
    <mergeCell ref="J13:N13"/>
  </mergeCells>
  <phoneticPr fontId="1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showGridLines="0" workbookViewId="0">
      <selection activeCell="F18" sqref="F18"/>
    </sheetView>
  </sheetViews>
  <sheetFormatPr defaultRowHeight="17.399999999999999" x14ac:dyDescent="0.4"/>
  <cols>
    <col min="1" max="1" width="3" customWidth="1"/>
    <col min="2" max="2" width="14" customWidth="1"/>
    <col min="3" max="3" width="12" customWidth="1"/>
    <col min="4" max="4" width="16" customWidth="1"/>
    <col min="5" max="13" width="11" customWidth="1"/>
  </cols>
  <sheetData>
    <row r="1" spans="1:14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6"/>
    </row>
    <row r="2" spans="1:14" ht="34.200000000000003" x14ac:dyDescent="0.8">
      <c r="A2" s="1"/>
      <c r="B2" s="183" t="s">
        <v>516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6"/>
    </row>
    <row r="3" spans="1:14" ht="18.600000000000001" x14ac:dyDescent="0.45">
      <c r="A3" s="1"/>
      <c r="B3" s="189" t="s">
        <v>517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6"/>
    </row>
    <row r="4" spans="1:14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6"/>
    </row>
    <row r="5" spans="1:14" ht="22.05" customHeight="1" x14ac:dyDescent="0.4">
      <c r="A5" s="1"/>
      <c r="B5" s="184" t="s">
        <v>518</v>
      </c>
      <c r="C5" s="170"/>
      <c r="D5" s="188" t="s">
        <v>519</v>
      </c>
      <c r="E5" s="169"/>
      <c r="F5" s="169"/>
      <c r="G5" s="169"/>
      <c r="H5" s="170"/>
      <c r="I5" s="215" t="s">
        <v>520</v>
      </c>
      <c r="J5" s="169"/>
      <c r="K5" s="169"/>
      <c r="L5" s="169"/>
      <c r="M5" s="170"/>
      <c r="N5" s="16"/>
    </row>
    <row r="6" spans="1:14" ht="22.05" customHeight="1" x14ac:dyDescent="0.4">
      <c r="A6" s="1"/>
      <c r="B6" s="184" t="s">
        <v>521</v>
      </c>
      <c r="C6" s="170"/>
      <c r="D6" s="188" t="s">
        <v>522</v>
      </c>
      <c r="E6" s="169"/>
      <c r="F6" s="169"/>
      <c r="G6" s="169"/>
      <c r="H6" s="170"/>
      <c r="I6" s="215" t="s">
        <v>523</v>
      </c>
      <c r="J6" s="169"/>
      <c r="K6" s="169"/>
      <c r="L6" s="169"/>
      <c r="M6" s="170"/>
      <c r="N6" s="16"/>
    </row>
    <row r="7" spans="1:14" ht="22.05" customHeight="1" x14ac:dyDescent="0.4">
      <c r="A7" s="1"/>
      <c r="B7" s="184" t="s">
        <v>524</v>
      </c>
      <c r="C7" s="170"/>
      <c r="D7" s="188" t="s">
        <v>525</v>
      </c>
      <c r="E7" s="169"/>
      <c r="F7" s="169"/>
      <c r="G7" s="169"/>
      <c r="H7" s="170"/>
      <c r="I7" s="215" t="s">
        <v>526</v>
      </c>
      <c r="J7" s="169"/>
      <c r="K7" s="169"/>
      <c r="L7" s="169"/>
      <c r="M7" s="170"/>
      <c r="N7" s="16"/>
    </row>
    <row r="8" spans="1:14" ht="22.05" customHeight="1" x14ac:dyDescent="0.4">
      <c r="A8" s="1"/>
      <c r="B8" s="184" t="s">
        <v>527</v>
      </c>
      <c r="C8" s="170"/>
      <c r="D8" s="188" t="s">
        <v>528</v>
      </c>
      <c r="E8" s="169"/>
      <c r="F8" s="169"/>
      <c r="G8" s="169"/>
      <c r="H8" s="170"/>
      <c r="I8" s="215" t="s">
        <v>529</v>
      </c>
      <c r="J8" s="169"/>
      <c r="K8" s="169"/>
      <c r="L8" s="169"/>
      <c r="M8" s="170"/>
      <c r="N8" s="16"/>
    </row>
    <row r="9" spans="1:14" ht="22.05" customHeight="1" x14ac:dyDescent="0.4">
      <c r="A9" s="1"/>
      <c r="B9" s="184" t="s">
        <v>24</v>
      </c>
      <c r="C9" s="170"/>
      <c r="D9" s="188" t="s">
        <v>530</v>
      </c>
      <c r="E9" s="169"/>
      <c r="F9" s="169"/>
      <c r="G9" s="169"/>
      <c r="H9" s="170"/>
      <c r="I9" s="215" t="s">
        <v>531</v>
      </c>
      <c r="J9" s="169"/>
      <c r="K9" s="169"/>
      <c r="L9" s="169"/>
      <c r="M9" s="170"/>
      <c r="N9" s="16"/>
    </row>
    <row r="10" spans="1:14" ht="22.05" customHeight="1" x14ac:dyDescent="0.4">
      <c r="A10" s="1"/>
      <c r="B10" s="184" t="s">
        <v>532</v>
      </c>
      <c r="C10" s="170"/>
      <c r="D10" s="188" t="s">
        <v>533</v>
      </c>
      <c r="E10" s="169"/>
      <c r="F10" s="169"/>
      <c r="G10" s="169"/>
      <c r="H10" s="170"/>
      <c r="I10" s="215" t="s">
        <v>534</v>
      </c>
      <c r="J10" s="169"/>
      <c r="K10" s="169"/>
      <c r="L10" s="169"/>
      <c r="M10" s="170"/>
      <c r="N10" s="16"/>
    </row>
    <row r="11" spans="1:14" ht="22.05" customHeight="1" x14ac:dyDescent="0.4">
      <c r="A11" s="1"/>
      <c r="B11" s="184" t="s">
        <v>535</v>
      </c>
      <c r="C11" s="170"/>
      <c r="D11" s="188" t="s">
        <v>536</v>
      </c>
      <c r="E11" s="169"/>
      <c r="F11" s="169"/>
      <c r="G11" s="169"/>
      <c r="H11" s="170"/>
      <c r="I11" s="215" t="s">
        <v>537</v>
      </c>
      <c r="J11" s="169"/>
      <c r="K11" s="169"/>
      <c r="L11" s="169"/>
      <c r="M11" s="170"/>
      <c r="N11" s="16"/>
    </row>
    <row r="12" spans="1:14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6"/>
    </row>
    <row r="13" spans="1:14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6"/>
    </row>
    <row r="14" spans="1:14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6"/>
    </row>
  </sheetData>
  <mergeCells count="23">
    <mergeCell ref="B3:M3"/>
    <mergeCell ref="B11:C11"/>
    <mergeCell ref="D11:H11"/>
    <mergeCell ref="I6:M6"/>
    <mergeCell ref="I10:M10"/>
    <mergeCell ref="I9:M9"/>
    <mergeCell ref="D10:H10"/>
    <mergeCell ref="B2:M2"/>
    <mergeCell ref="I11:M11"/>
    <mergeCell ref="D6:H6"/>
    <mergeCell ref="D7:H7"/>
    <mergeCell ref="D9:H9"/>
    <mergeCell ref="B10:C10"/>
    <mergeCell ref="I8:M8"/>
    <mergeCell ref="B9:C9"/>
    <mergeCell ref="B6:C6"/>
    <mergeCell ref="I7:M7"/>
    <mergeCell ref="B8:C8"/>
    <mergeCell ref="B7:C7"/>
    <mergeCell ref="B5:C5"/>
    <mergeCell ref="I5:M5"/>
    <mergeCell ref="D5:H5"/>
    <mergeCell ref="D8:H8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 요약</vt:lpstr>
      <vt:lpstr>2. 시장 구조</vt:lpstr>
      <vt:lpstr>3. 터블 실매출</vt:lpstr>
      <vt:lpstr>4. 경쟁 매트릭스</vt:lpstr>
      <vt:lpstr>5. Top5 경쟁사</vt:lpstr>
      <vt:lpstr>6. 터블 라인업 로드맵</vt:lpstr>
      <vt:lpstr>7. 참고 및 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2026-04-23T15:45:27Z</dcterms:created>
  <dcterms:modified xsi:type="dcterms:W3CDTF">2026-05-18T11:47:16Z</dcterms:modified>
</cp:coreProperties>
</file>